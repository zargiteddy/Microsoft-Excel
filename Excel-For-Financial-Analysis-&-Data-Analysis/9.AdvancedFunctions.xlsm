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esktop\Excel\"/>
    </mc:Choice>
  </mc:AlternateContent>
  <xr:revisionPtr revIDLastSave="0" documentId="13_ncr:1_{17745B2F-13A1-4E8D-AA01-D35A26B2B346}" xr6:coauthVersionLast="47" xr6:coauthVersionMax="47" xr10:uidLastSave="{00000000-0000-0000-0000-000000000000}"/>
  <bookViews>
    <workbookView xWindow="10245" yWindow="420" windowWidth="15045" windowHeight="10470" firstSheet="23" activeTab="25" xr2:uid="{00000000-000D-0000-FFFF-FFFF00000000}"/>
  </bookViews>
  <sheets>
    <sheet name="NamingCell&amp;Range_1" sheetId="1" r:id="rId1"/>
    <sheet name="NamingCell&amp;Range_2" sheetId="2" r:id="rId2"/>
    <sheet name="TextToColumns" sheetId="3" r:id="rId3"/>
    <sheet name="GroupingTabs&amp;Subtotal" sheetId="4" r:id="rId4"/>
    <sheet name="WorkingWithHyperlinks" sheetId="5" r:id="rId5"/>
    <sheet name="DataValidation" sheetId="6" r:id="rId6"/>
    <sheet name="CustomDataValidation" sheetId="7" r:id="rId7"/>
    <sheet name="GeneratingRandomNumbers" sheetId="8" r:id="rId8"/>
    <sheet name="ProtectingWorksheetAndWorkbook" sheetId="10" r:id="rId9"/>
    <sheet name="Goal Seek" sheetId="17" r:id="rId10"/>
    <sheet name="Solver" sheetId="15" r:id="rId11"/>
    <sheet name="DataTable" sheetId="16" r:id="rId12"/>
    <sheet name="ComboCharts" sheetId="18" r:id="rId13"/>
    <sheet name="Sparklines" sheetId="19" r:id="rId14"/>
    <sheet name="WaterfallChart" sheetId="20" r:id="rId15"/>
    <sheet name="Box&amp;WhiskerChart_1" sheetId="21" r:id="rId16"/>
    <sheet name="Box&amp;WhiskerChart_2" sheetId="23" r:id="rId17"/>
    <sheet name="Box&amp;WhiskerChart_3" sheetId="24" r:id="rId18"/>
    <sheet name="TreeMap" sheetId="25" r:id="rId19"/>
    <sheet name="SunBurst" sheetId="26" r:id="rId20"/>
    <sheet name="RadarChart" sheetId="27" r:id="rId21"/>
    <sheet name="ScrollBar" sheetId="28" r:id="rId22"/>
    <sheet name="Dataset" sheetId="30" r:id="rId23"/>
    <sheet name="Spin&amp;Radio" sheetId="29" r:id="rId24"/>
    <sheet name="FormControlApplication" sheetId="31" r:id="rId25"/>
    <sheet name="DataEntryForm" sheetId="32" r:id="rId26"/>
  </sheets>
  <definedNames>
    <definedName name="_xlnm._FilterDatabase" localSheetId="8" hidden="1">ProtectingWorksheetAndWorkbook!$A$4:$D$20</definedName>
    <definedName name="_xlchart.v1.0" hidden="1">WaterfallChart!$A$4:$A$10</definedName>
    <definedName name="_xlchart.v1.1" hidden="1">WaterfallChart!$B$3</definedName>
    <definedName name="_xlchart.v1.10" hidden="1">'Box&amp;WhiskerChart_3'!$E$2:$E$26</definedName>
    <definedName name="_xlchart.v1.11" hidden="1">TreeMap!$A$4:$B$18</definedName>
    <definedName name="_xlchart.v1.12" hidden="1">TreeMap!$C$3</definedName>
    <definedName name="_xlchart.v1.13" hidden="1">TreeMap!$C$4:$C$18</definedName>
    <definedName name="_xlchart.v1.14" hidden="1">SunBurst!$A$4:$C$78</definedName>
    <definedName name="_xlchart.v1.15" hidden="1">SunBurst!$D$3</definedName>
    <definedName name="_xlchart.v1.16" hidden="1">SunBurst!$D$4:$D$78</definedName>
    <definedName name="_xlchart.v1.2" hidden="1">WaterfallChart!$B$4:$B$10</definedName>
    <definedName name="_xlchart.v1.3" hidden="1">WaterfallChart!$A$22:$A$27</definedName>
    <definedName name="_xlchart.v1.4" hidden="1">WaterfallChart!$B$22:$B$27</definedName>
    <definedName name="_xlchart.v1.5" hidden="1">'Box&amp;WhiskerChart_2'!$B$2:$B$51</definedName>
    <definedName name="_xlchart.v1.6" hidden="1">'Box&amp;WhiskerChart_2'!$D$1</definedName>
    <definedName name="_xlchart.v1.7" hidden="1">'Box&amp;WhiskerChart_2'!$D$2:$D$51</definedName>
    <definedName name="_xlchart.v1.8" hidden="1">'Box&amp;WhiskerChart_3'!$D$2:$D$26</definedName>
    <definedName name="_xlchart.v1.9" hidden="1">'Box&amp;WhiskerChart_3'!$E$1</definedName>
    <definedName name="Countries">'NamingCell&amp;Range_1'!$G$5:$I$20</definedName>
    <definedName name="DaysInYear">'NamingCell&amp;Range_1'!$C$6</definedName>
    <definedName name="Hours_Per_Day">'NamingCell&amp;Range_1'!$C$5</definedName>
    <definedName name="solver_adj" localSheetId="11" hidden="1">DataTable!$C$2,DataTable!$C$3,DataTable!$C$6</definedName>
    <definedName name="solver_adj" localSheetId="10" hidden="1">Solver!$C$2,Solver!$C$3,Solver!$C$6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ng" localSheetId="11" hidden="1">1</definedName>
    <definedName name="solver_eng" localSheetId="10" hidden="1">1</definedName>
    <definedName name="solver_est" localSheetId="11" hidden="1">1</definedName>
    <definedName name="solver_est" localSheetId="10" hidden="1">1</definedName>
    <definedName name="solver_itr" localSheetId="11" hidden="1">2147483647</definedName>
    <definedName name="solver_itr" localSheetId="10" hidden="1">2147483647</definedName>
    <definedName name="solver_lhs1" localSheetId="11" hidden="1">DataTable!$C$2</definedName>
    <definedName name="solver_lhs1" localSheetId="10" hidden="1">Solver!$C$2</definedName>
    <definedName name="solver_lhs2" localSheetId="11" hidden="1">DataTable!$C$3</definedName>
    <definedName name="solver_lhs2" localSheetId="10" hidden="1">Solver!$C$3</definedName>
    <definedName name="solver_lhs3" localSheetId="11" hidden="1">DataTable!$C$3</definedName>
    <definedName name="solver_lhs3" localSheetId="10" hidden="1">Solver!$C$3</definedName>
    <definedName name="solver_lhs4" localSheetId="11" hidden="1">DataTable!$C$6</definedName>
    <definedName name="solver_lhs4" localSheetId="10" hidden="1">Solver!$C$6</definedName>
    <definedName name="solver_mip" localSheetId="11" hidden="1">2147483647</definedName>
    <definedName name="solver_mip" localSheetId="10" hidden="1">2147483647</definedName>
    <definedName name="solver_mni" localSheetId="11" hidden="1">30</definedName>
    <definedName name="solver_mni" localSheetId="10" hidden="1">30</definedName>
    <definedName name="solver_mrt" localSheetId="11" hidden="1">0.075</definedName>
    <definedName name="solver_mrt" localSheetId="10" hidden="1">0.075</definedName>
    <definedName name="solver_msl" localSheetId="11" hidden="1">2</definedName>
    <definedName name="solver_msl" localSheetId="10" hidden="1">2</definedName>
    <definedName name="solver_neg" localSheetId="11" hidden="1">1</definedName>
    <definedName name="solver_neg" localSheetId="10" hidden="1">1</definedName>
    <definedName name="solver_nod" localSheetId="11" hidden="1">2147483647</definedName>
    <definedName name="solver_nod" localSheetId="10" hidden="1">2147483647</definedName>
    <definedName name="solver_num" localSheetId="11" hidden="1">4</definedName>
    <definedName name="solver_num" localSheetId="10" hidden="1">4</definedName>
    <definedName name="solver_nwt" localSheetId="11" hidden="1">1</definedName>
    <definedName name="solver_nwt" localSheetId="10" hidden="1">1</definedName>
    <definedName name="solver_opt" localSheetId="11" hidden="1">DataTable!$D$9</definedName>
    <definedName name="solver_opt" localSheetId="10" hidden="1">Solver!$D$9</definedName>
    <definedName name="solver_pre" localSheetId="11" hidden="1">0.000001</definedName>
    <definedName name="solver_pre" localSheetId="10" hidden="1">0.000001</definedName>
    <definedName name="solver_rbv" localSheetId="11" hidden="1">1</definedName>
    <definedName name="solver_rbv" localSheetId="10" hidden="1">1</definedName>
    <definedName name="solver_rel1" localSheetId="11" hidden="1">4</definedName>
    <definedName name="solver_rel1" localSheetId="10" hidden="1">4</definedName>
    <definedName name="solver_rel2" localSheetId="11" hidden="1">1</definedName>
    <definedName name="solver_rel2" localSheetId="10" hidden="1">1</definedName>
    <definedName name="solver_rel3" localSheetId="11" hidden="1">3</definedName>
    <definedName name="solver_rel3" localSheetId="10" hidden="1">3</definedName>
    <definedName name="solver_rel4" localSheetId="11" hidden="1">3</definedName>
    <definedName name="solver_rel4" localSheetId="10" hidden="1">3</definedName>
    <definedName name="solver_rhs1" localSheetId="11" hidden="1">"integer"</definedName>
    <definedName name="solver_rhs1" localSheetId="10" hidden="1">"integer"</definedName>
    <definedName name="solver_rhs2" localSheetId="11" hidden="1">60</definedName>
    <definedName name="solver_rhs2" localSheetId="10" hidden="1">60</definedName>
    <definedName name="solver_rhs3" localSheetId="11" hidden="1">40</definedName>
    <definedName name="solver_rhs3" localSheetId="10" hidden="1">40</definedName>
    <definedName name="solver_rhs4" localSheetId="11" hidden="1">25</definedName>
    <definedName name="solver_rhs4" localSheetId="10" hidden="1">25</definedName>
    <definedName name="solver_rlx" localSheetId="11" hidden="1">2</definedName>
    <definedName name="solver_rlx" localSheetId="10" hidden="1">2</definedName>
    <definedName name="solver_rsd" localSheetId="11" hidden="1">0</definedName>
    <definedName name="solver_rsd" localSheetId="10" hidden="1">0</definedName>
    <definedName name="solver_scl" localSheetId="11" hidden="1">1</definedName>
    <definedName name="solver_scl" localSheetId="10" hidden="1">1</definedName>
    <definedName name="solver_sho" localSheetId="11" hidden="1">2</definedName>
    <definedName name="solver_sho" localSheetId="10" hidden="1">2</definedName>
    <definedName name="solver_ssz" localSheetId="11" hidden="1">100</definedName>
    <definedName name="solver_ssz" localSheetId="10" hidden="1">100</definedName>
    <definedName name="solver_tim" localSheetId="11" hidden="1">2147483647</definedName>
    <definedName name="solver_tim" localSheetId="10" hidden="1">2147483647</definedName>
    <definedName name="solver_tol" localSheetId="11" hidden="1">0.01</definedName>
    <definedName name="solver_tol" localSheetId="10" hidden="1">0.01</definedName>
    <definedName name="solver_typ" localSheetId="11" hidden="1">3</definedName>
    <definedName name="solver_typ" localSheetId="10" hidden="1">3</definedName>
    <definedName name="solver_val" localSheetId="11" hidden="1">2000</definedName>
    <definedName name="solver_val" localSheetId="10" hidden="1">0</definedName>
    <definedName name="solver_ver" localSheetId="11" hidden="1">3</definedName>
    <definedName name="solver_ver" localSheetId="1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31" l="1"/>
  <c r="L13" i="31" s="1"/>
  <c r="L7" i="31"/>
  <c r="L8" i="31" s="1"/>
  <c r="L9" i="31" s="1"/>
  <c r="L6" i="31"/>
  <c r="L5" i="31"/>
  <c r="L4" i="31"/>
  <c r="L3" i="31"/>
  <c r="L12" i="31" l="1"/>
  <c r="L15" i="31" s="1"/>
  <c r="L17" i="31" s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3" i="23"/>
  <c r="J9" i="21"/>
  <c r="I9" i="21"/>
  <c r="J14" i="21"/>
  <c r="I14" i="21"/>
  <c r="J13" i="21"/>
  <c r="I13" i="21"/>
  <c r="J12" i="21"/>
  <c r="I12" i="21"/>
  <c r="J8" i="21"/>
  <c r="I8" i="21"/>
  <c r="J6" i="21"/>
  <c r="I6" i="21"/>
  <c r="J7" i="21"/>
  <c r="I7" i="21"/>
  <c r="J5" i="21"/>
  <c r="I5" i="21"/>
  <c r="J4" i="21"/>
  <c r="I4" i="21"/>
  <c r="C9" i="19"/>
  <c r="D9" i="19"/>
  <c r="E9" i="19"/>
  <c r="F9" i="19"/>
  <c r="B9" i="19"/>
  <c r="C38" i="18"/>
  <c r="C39" i="18" s="1"/>
  <c r="D38" i="18"/>
  <c r="D39" i="18" s="1"/>
  <c r="E38" i="18"/>
  <c r="E39" i="18" s="1"/>
  <c r="F38" i="18"/>
  <c r="F39" i="18" s="1"/>
  <c r="G38" i="18"/>
  <c r="G39" i="18" s="1"/>
  <c r="H38" i="18"/>
  <c r="H39" i="18" s="1"/>
  <c r="I38" i="18"/>
  <c r="I39" i="18" s="1"/>
  <c r="J38" i="18"/>
  <c r="J39" i="18" s="1"/>
  <c r="K38" i="18"/>
  <c r="K39" i="18" s="1"/>
  <c r="B38" i="18"/>
  <c r="B39" i="18" s="1"/>
  <c r="C35" i="18"/>
  <c r="D35" i="18" s="1"/>
  <c r="E35" i="18" s="1"/>
  <c r="F35" i="18" s="1"/>
  <c r="G35" i="18" s="1"/>
  <c r="H35" i="18" s="1"/>
  <c r="I35" i="18" s="1"/>
  <c r="J35" i="18" s="1"/>
  <c r="K35" i="18" s="1"/>
  <c r="A20" i="18"/>
  <c r="A21" i="18" s="1"/>
  <c r="A22" i="18" s="1"/>
  <c r="A23" i="18" s="1"/>
  <c r="A24" i="18" s="1"/>
  <c r="A25" i="18" s="1"/>
  <c r="A26" i="18" s="1"/>
  <c r="A27" i="18" s="1"/>
  <c r="A28" i="18" s="1"/>
  <c r="A3" i="18"/>
  <c r="A4" i="18" s="1"/>
  <c r="A5" i="18" s="1"/>
  <c r="A6" i="18" s="1"/>
  <c r="A7" i="18" s="1"/>
  <c r="A8" i="18" s="1"/>
  <c r="A9" i="18" s="1"/>
  <c r="A10" i="18" s="1"/>
  <c r="A11" i="18" s="1"/>
  <c r="D6" i="17"/>
  <c r="C7" i="17"/>
  <c r="D7" i="17" s="1"/>
  <c r="D9" i="17" s="1"/>
  <c r="D5" i="17"/>
  <c r="C7" i="15"/>
  <c r="C7" i="16"/>
  <c r="D7" i="16"/>
  <c r="D9" i="16" s="1"/>
  <c r="K16" i="16" s="1"/>
  <c r="D6" i="16"/>
  <c r="D5" i="16"/>
  <c r="D7" i="15"/>
  <c r="D9" i="15" s="1"/>
  <c r="D6" i="15"/>
  <c r="D5" i="15"/>
  <c r="C6" i="10"/>
  <c r="C2" i="10"/>
  <c r="D16" i="8"/>
  <c r="E16" i="8"/>
  <c r="F16" i="8"/>
  <c r="G16" i="8"/>
  <c r="H16" i="8"/>
  <c r="I16" i="8"/>
  <c r="J16" i="8"/>
  <c r="K16" i="8"/>
  <c r="L16" i="8"/>
  <c r="M16" i="8"/>
  <c r="N16" i="8"/>
  <c r="C16" i="8"/>
  <c r="D7" i="8"/>
  <c r="E7" i="8"/>
  <c r="F7" i="8"/>
  <c r="G7" i="8"/>
  <c r="H7" i="8"/>
  <c r="I7" i="8"/>
  <c r="J7" i="8"/>
  <c r="K7" i="8"/>
  <c r="L7" i="8"/>
  <c r="M7" i="8"/>
  <c r="N7" i="8"/>
  <c r="C7" i="8"/>
  <c r="A5" i="7"/>
  <c r="D24" i="4"/>
  <c r="D14" i="4"/>
  <c r="D12" i="4"/>
  <c r="D6" i="4"/>
  <c r="D25" i="4" s="1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11" i="16" l="1"/>
  <c r="J12" i="16"/>
  <c r="D11" i="2"/>
  <c r="C10" i="2"/>
  <c r="C9" i="2"/>
  <c r="C5" i="2"/>
  <c r="C3" i="2"/>
  <c r="C11" i="1"/>
  <c r="C10" i="1"/>
</calcChain>
</file>

<file path=xl/sharedStrings.xml><?xml version="1.0" encoding="utf-8"?>
<sst xmlns="http://schemas.openxmlformats.org/spreadsheetml/2006/main" count="900" uniqueCount="399">
  <si>
    <t>Shoe Manufacturing Company</t>
  </si>
  <si>
    <t>Production metrics of 1 of the company factories</t>
  </si>
  <si>
    <t>Hourly Production</t>
  </si>
  <si>
    <t>Production Hours per Day</t>
  </si>
  <si>
    <t>Sales for the Year</t>
  </si>
  <si>
    <t>Key Countries of Business</t>
  </si>
  <si>
    <t>Countries</t>
  </si>
  <si>
    <t>Region</t>
  </si>
  <si>
    <t>Sales(US $ mn.)</t>
  </si>
  <si>
    <t>USA</t>
  </si>
  <si>
    <t>Canada</t>
  </si>
  <si>
    <t>Brazil</t>
  </si>
  <si>
    <t>Peru</t>
  </si>
  <si>
    <t>Argentina</t>
  </si>
  <si>
    <t>France</t>
  </si>
  <si>
    <t>UK</t>
  </si>
  <si>
    <t>Germany</t>
  </si>
  <si>
    <t>Spain</t>
  </si>
  <si>
    <t>Denmark</t>
  </si>
  <si>
    <t>Turkey</t>
  </si>
  <si>
    <t>Dubai</t>
  </si>
  <si>
    <t>Singapore</t>
  </si>
  <si>
    <t>India</t>
  </si>
  <si>
    <t>Japan</t>
  </si>
  <si>
    <t>South Korea</t>
  </si>
  <si>
    <t>North America</t>
  </si>
  <si>
    <t>Latin America</t>
  </si>
  <si>
    <t>Europe</t>
  </si>
  <si>
    <t>Middle East</t>
  </si>
  <si>
    <t>Asia</t>
  </si>
  <si>
    <t>Total Annual Production</t>
  </si>
  <si>
    <t>Daily Sales</t>
  </si>
  <si>
    <t>Business Days per Year</t>
  </si>
  <si>
    <t>Total Production for the Year</t>
  </si>
  <si>
    <t>Average Daily Sales</t>
  </si>
  <si>
    <t>Sales</t>
  </si>
  <si>
    <t>S. No</t>
  </si>
  <si>
    <t xml:space="preserve">Name </t>
  </si>
  <si>
    <t>Department</t>
  </si>
  <si>
    <t>Engagement Type</t>
  </si>
  <si>
    <t>Date of Joining</t>
  </si>
  <si>
    <t>Monthly Salary ($)</t>
  </si>
  <si>
    <t>Annual Salary ($)</t>
  </si>
  <si>
    <t>McGill, Bruce</t>
  </si>
  <si>
    <t>Marketing</t>
  </si>
  <si>
    <t>Payroll</t>
  </si>
  <si>
    <t>Suarez, Jacob Michael</t>
  </si>
  <si>
    <t>IT</t>
  </si>
  <si>
    <t>Huffman, Melvin</t>
  </si>
  <si>
    <t>Finance</t>
  </si>
  <si>
    <t>Jordan, Alicia Mary</t>
  </si>
  <si>
    <t>West, Paul</t>
  </si>
  <si>
    <t>Contract</t>
  </si>
  <si>
    <t>Taylor, Hannah</t>
  </si>
  <si>
    <t>Carlson, Sarah Olive</t>
  </si>
  <si>
    <t>Support</t>
  </si>
  <si>
    <t>Newman, Abbott</t>
  </si>
  <si>
    <t>Summers, Abel Everett</t>
  </si>
  <si>
    <t>Becker, Lucy Jude</t>
  </si>
  <si>
    <t>Reilly, Jack</t>
  </si>
  <si>
    <t>Hahn, Aaron</t>
  </si>
  <si>
    <t>Kent, Grace Suzan</t>
  </si>
  <si>
    <t>Kirby, Paxton</t>
  </si>
  <si>
    <t>Russo, Malcolm</t>
  </si>
  <si>
    <t>Frost, Alexandra</t>
  </si>
  <si>
    <t>Human Resource</t>
  </si>
  <si>
    <t>Reid, Alice Elaine</t>
  </si>
  <si>
    <t>Day, Lydia Allison</t>
  </si>
  <si>
    <t>McNeil, Tony</t>
  </si>
  <si>
    <t>Ramos, James</t>
  </si>
  <si>
    <t>Tanner, Louis</t>
  </si>
  <si>
    <t>Byrne, Ayisha Jule</t>
  </si>
  <si>
    <t>Chase, Ruby Mae</t>
  </si>
  <si>
    <t>Craig, Raphael</t>
  </si>
  <si>
    <t>Stevens, Terri</t>
  </si>
  <si>
    <t>Last Name</t>
  </si>
  <si>
    <t>First Name</t>
  </si>
  <si>
    <t>Middle Name</t>
  </si>
  <si>
    <t>McGill</t>
  </si>
  <si>
    <t>Bruce</t>
  </si>
  <si>
    <t>Suarez</t>
  </si>
  <si>
    <t>Jacob</t>
  </si>
  <si>
    <t>Michael</t>
  </si>
  <si>
    <t>Huffman</t>
  </si>
  <si>
    <t>Melvin</t>
  </si>
  <si>
    <t>Jordan</t>
  </si>
  <si>
    <t>Alicia</t>
  </si>
  <si>
    <t>Mary</t>
  </si>
  <si>
    <t>West</t>
  </si>
  <si>
    <t>Paul</t>
  </si>
  <si>
    <t>Taylor</t>
  </si>
  <si>
    <t>Hannah</t>
  </si>
  <si>
    <t>Carlson</t>
  </si>
  <si>
    <t>Sarah</t>
  </si>
  <si>
    <t>Olive</t>
  </si>
  <si>
    <t>Newman</t>
  </si>
  <si>
    <t>Abbott</t>
  </si>
  <si>
    <t>Summers</t>
  </si>
  <si>
    <t>Abel</t>
  </si>
  <si>
    <t>Everett</t>
  </si>
  <si>
    <t>Becker</t>
  </si>
  <si>
    <t>Lucy</t>
  </si>
  <si>
    <t>Jude</t>
  </si>
  <si>
    <t>Reilly</t>
  </si>
  <si>
    <t>Jack</t>
  </si>
  <si>
    <t>Hahn</t>
  </si>
  <si>
    <t>Aaron</t>
  </si>
  <si>
    <t>Kent</t>
  </si>
  <si>
    <t>Grace</t>
  </si>
  <si>
    <t>Suzan</t>
  </si>
  <si>
    <t>Kirby</t>
  </si>
  <si>
    <t>Paxton</t>
  </si>
  <si>
    <t>Russo</t>
  </si>
  <si>
    <t>Malcolm</t>
  </si>
  <si>
    <t>Frost</t>
  </si>
  <si>
    <t>Alexandra</t>
  </si>
  <si>
    <t>Reid</t>
  </si>
  <si>
    <t>Alice</t>
  </si>
  <si>
    <t>Elaine</t>
  </si>
  <si>
    <t>Day</t>
  </si>
  <si>
    <t>Lydia</t>
  </si>
  <si>
    <t>Allison</t>
  </si>
  <si>
    <t>McNeil</t>
  </si>
  <si>
    <t>Tony</t>
  </si>
  <si>
    <t>Ramos</t>
  </si>
  <si>
    <t>James</t>
  </si>
  <si>
    <t>Tanner</t>
  </si>
  <si>
    <t>Louis</t>
  </si>
  <si>
    <t>Byrne</t>
  </si>
  <si>
    <t>Ayisha</t>
  </si>
  <si>
    <t>Jule</t>
  </si>
  <si>
    <t>Chase</t>
  </si>
  <si>
    <t>Ruby</t>
  </si>
  <si>
    <t>Mae</t>
  </si>
  <si>
    <t>Craig</t>
  </si>
  <si>
    <t>Raphael</t>
  </si>
  <si>
    <t>Stevens</t>
  </si>
  <si>
    <t>Terri</t>
  </si>
  <si>
    <t>Extract of Monthly Imports of Goods (value in US$ Billions)</t>
  </si>
  <si>
    <t>Data Source: Organisation for Economic Co-operation and Development (OECD) - https://stats.oecd.org</t>
  </si>
  <si>
    <t>Month</t>
  </si>
  <si>
    <t>Value (in US$ Bn.)</t>
  </si>
  <si>
    <t>Africa</t>
  </si>
  <si>
    <t>Central America</t>
  </si>
  <si>
    <t>South Africa</t>
  </si>
  <si>
    <t>Indonesia</t>
  </si>
  <si>
    <t>Korea</t>
  </si>
  <si>
    <t>Costa Rica</t>
  </si>
  <si>
    <t>Austria</t>
  </si>
  <si>
    <t>Belgium</t>
  </si>
  <si>
    <t>Czech Republic</t>
  </si>
  <si>
    <t>China (People's Republic of)</t>
  </si>
  <si>
    <t>Estonia</t>
  </si>
  <si>
    <t>Finland</t>
  </si>
  <si>
    <t>Greece</t>
  </si>
  <si>
    <t>Africa Total</t>
  </si>
  <si>
    <t>Asia Total</t>
  </si>
  <si>
    <t>Central America Total</t>
  </si>
  <si>
    <t>Europe Total</t>
  </si>
  <si>
    <t>Grand Total</t>
  </si>
  <si>
    <t>abc@gmail.com</t>
  </si>
  <si>
    <t>http://www.microsoft.com/</t>
  </si>
  <si>
    <t>Link to other sheets</t>
  </si>
  <si>
    <t>Text To Columns</t>
  </si>
  <si>
    <t>Grouping Tabs and Subtotal</t>
  </si>
  <si>
    <t>Naming Cell &amp; Range first sheet</t>
  </si>
  <si>
    <t>Naming Cell &amp; Range second sheet</t>
  </si>
  <si>
    <t>Bright University Alumni Data</t>
  </si>
  <si>
    <t>Sr. No.</t>
  </si>
  <si>
    <t>Email Address</t>
  </si>
  <si>
    <t>Date of Birth</t>
  </si>
  <si>
    <t>Home State</t>
  </si>
  <si>
    <t>Year of Passing</t>
  </si>
  <si>
    <t>CGPA</t>
  </si>
  <si>
    <t>Waters</t>
  </si>
  <si>
    <t>Michigan</t>
  </si>
  <si>
    <t>alice@bright.edu</t>
  </si>
  <si>
    <t>Jamie</t>
  </si>
  <si>
    <t>Nelson</t>
  </si>
  <si>
    <t>Alaska</t>
  </si>
  <si>
    <t>jamie@bright.edu</t>
  </si>
  <si>
    <t>Sales Tracker</t>
  </si>
  <si>
    <t>Product A</t>
  </si>
  <si>
    <t>Product B</t>
  </si>
  <si>
    <t>Product C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</si>
  <si>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</si>
  <si>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</si>
  <si>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</si>
  <si>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</si>
  <si>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</si>
  <si>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</si>
  <si>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</si>
  <si>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</si>
  <si>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</si>
  <si>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</si>
  <si>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</si>
  <si>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</si>
  <si>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</si>
  <si>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RAND()</t>
  </si>
  <si>
    <t>values between 0 &amp; 1</t>
  </si>
  <si>
    <t>RANDBETWEEN(lowerlimit; upperlimit)</t>
  </si>
  <si>
    <t>Time of Entry</t>
  </si>
  <si>
    <t>Name</t>
  </si>
  <si>
    <t>Employee ID</t>
  </si>
  <si>
    <t>Age</t>
  </si>
  <si>
    <t>Year</t>
  </si>
  <si>
    <t>Sale Volume</t>
  </si>
  <si>
    <t>Selling Price per Unit</t>
  </si>
  <si>
    <t>Units</t>
  </si>
  <si>
    <t>Total Value</t>
  </si>
  <si>
    <t>Revenue</t>
  </si>
  <si>
    <t>Variable Cost</t>
  </si>
  <si>
    <t>Contribution</t>
  </si>
  <si>
    <t>Fixed Cost</t>
  </si>
  <si>
    <t>Profit</t>
  </si>
  <si>
    <t>Selling Prices</t>
  </si>
  <si>
    <t>Change in Variable Cost</t>
  </si>
  <si>
    <t>Impact of Change in Variable Cost on Profits</t>
  </si>
  <si>
    <t>Impact of Change in Selling Price on Profits</t>
  </si>
  <si>
    <t>Change in Selling Price</t>
  </si>
  <si>
    <t>Sales Estimate</t>
  </si>
  <si>
    <t>Sales Actual</t>
  </si>
  <si>
    <t>Sales ($ mn.)</t>
  </si>
  <si>
    <t>Expenses</t>
  </si>
  <si>
    <t>Profit Margin</t>
  </si>
  <si>
    <t>5-year Regional Sales Data</t>
  </si>
  <si>
    <t>Midwest</t>
  </si>
  <si>
    <t>Northeast</t>
  </si>
  <si>
    <t>Southeast</t>
  </si>
  <si>
    <t>Southwest</t>
  </si>
  <si>
    <t>(in US$ min.)</t>
  </si>
  <si>
    <t>Trend</t>
  </si>
  <si>
    <t>Regionwise Contribution</t>
  </si>
  <si>
    <t>Inventory Management Data</t>
  </si>
  <si>
    <t>Change in Inventory</t>
  </si>
  <si>
    <t>Months</t>
  </si>
  <si>
    <t>Extract from the Financial Statements of a Company</t>
  </si>
  <si>
    <t>Cost of Goods Sold</t>
  </si>
  <si>
    <t>Other Income</t>
  </si>
  <si>
    <t>Interest Expense</t>
  </si>
  <si>
    <t>Taxes</t>
  </si>
  <si>
    <t>Net Income</t>
  </si>
  <si>
    <t>(in US$ mn.)</t>
  </si>
  <si>
    <t>Quartile 1</t>
  </si>
  <si>
    <t>Quartile 3</t>
  </si>
  <si>
    <t>Wild Willows</t>
  </si>
  <si>
    <t>Players</t>
  </si>
  <si>
    <t>Walter Reeves</t>
  </si>
  <si>
    <t>Gustavo Clark</t>
  </si>
  <si>
    <t>Alfonoso Lopez</t>
  </si>
  <si>
    <t>Russel Douglas</t>
  </si>
  <si>
    <t>Hugh Keller</t>
  </si>
  <si>
    <t>Irvin Spencer</t>
  </si>
  <si>
    <t>Ernest Castro</t>
  </si>
  <si>
    <t>Daryl Jefferson</t>
  </si>
  <si>
    <t>Kirk Williamson</t>
  </si>
  <si>
    <t>Pablo Dixon</t>
  </si>
  <si>
    <t>Darin Elliot</t>
  </si>
  <si>
    <t>Stephen Pierce</t>
  </si>
  <si>
    <t>Woodrow Strickland</t>
  </si>
  <si>
    <t>Kenneth Castillo</t>
  </si>
  <si>
    <t>Joey Logan</t>
  </si>
  <si>
    <t>Roberto Todd</t>
  </si>
  <si>
    <t>Ronnie Sanchez</t>
  </si>
  <si>
    <t>Fiery Eagles</t>
  </si>
  <si>
    <t>Darin Ellis</t>
  </si>
  <si>
    <t>Devin Young</t>
  </si>
  <si>
    <t>Tyrone Ferguson</t>
  </si>
  <si>
    <t>Lorenzo Holmes</t>
  </si>
  <si>
    <t>Miguel Salazar</t>
  </si>
  <si>
    <t>Lamar Padilla</t>
  </si>
  <si>
    <t>Pat French</t>
  </si>
  <si>
    <t>Rick Phillips</t>
  </si>
  <si>
    <t>Domingo Scott</t>
  </si>
  <si>
    <t>Perry Alexander</t>
  </si>
  <si>
    <t>Bruce Chavez</t>
  </si>
  <si>
    <t>Herman Shaw</t>
  </si>
  <si>
    <t>Emanual Stevensor</t>
  </si>
  <si>
    <t>Sam Foster</t>
  </si>
  <si>
    <t>Jose Wilkerson</t>
  </si>
  <si>
    <t>Louis Allen</t>
  </si>
  <si>
    <t>Virgil Carpenter</t>
  </si>
  <si>
    <t>Average Age</t>
  </si>
  <si>
    <t>Minimum</t>
  </si>
  <si>
    <t>Maximum</t>
  </si>
  <si>
    <t>Noel Griffin</t>
  </si>
  <si>
    <t>Kristopher Davidson</t>
  </si>
  <si>
    <t>Elbert Shaw</t>
  </si>
  <si>
    <t>Terrence Parsons</t>
  </si>
  <si>
    <t>Barry Park</t>
  </si>
  <si>
    <t>Clark Tucker</t>
  </si>
  <si>
    <t>Dean Cain</t>
  </si>
  <si>
    <t>Kyle Rivera</t>
  </si>
  <si>
    <t>Travis Stevens</t>
  </si>
  <si>
    <t>Frankie Lamb</t>
  </si>
  <si>
    <t>Sherman Ingram</t>
  </si>
  <si>
    <t>Tim Moore</t>
  </si>
  <si>
    <t>Fernando Hall</t>
  </si>
  <si>
    <t>Kelly Powell</t>
  </si>
  <si>
    <t>Donald Green</t>
  </si>
  <si>
    <t>Percy Neal</t>
  </si>
  <si>
    <t>Median</t>
  </si>
  <si>
    <t>using Quartile function</t>
  </si>
  <si>
    <t>Sr. No</t>
  </si>
  <si>
    <t>Team</t>
  </si>
  <si>
    <t>Extract of Sales Data of Brightlights Corp.</t>
  </si>
  <si>
    <t>Lamp Category</t>
  </si>
  <si>
    <t>Sum of Sales ($)</t>
  </si>
  <si>
    <t>CFL</t>
  </si>
  <si>
    <t>FL</t>
  </si>
  <si>
    <t>LED</t>
  </si>
  <si>
    <t>Manager</t>
  </si>
  <si>
    <t>Sales Rep</t>
  </si>
  <si>
    <t>Sales ($)</t>
  </si>
  <si>
    <t>Extract of a Course Survey</t>
  </si>
  <si>
    <t>Parameter</t>
  </si>
  <si>
    <t>Participant 1</t>
  </si>
  <si>
    <t>Participant 2</t>
  </si>
  <si>
    <t>Participant 3</t>
  </si>
  <si>
    <t>Course Content</t>
  </si>
  <si>
    <t>Subject Knowledge</t>
  </si>
  <si>
    <t>Clarity</t>
  </si>
  <si>
    <t>Time Management</t>
  </si>
  <si>
    <t>Meets Learning Goals</t>
  </si>
  <si>
    <t>Benchmark</t>
  </si>
  <si>
    <t>Loan Application</t>
  </si>
  <si>
    <t>Loan amount</t>
  </si>
  <si>
    <t>Loan Period</t>
  </si>
  <si>
    <t>Annual Interest Rate</t>
  </si>
  <si>
    <t>Payment Options</t>
  </si>
  <si>
    <t>State</t>
  </si>
  <si>
    <t>Alabama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</si>
  <si>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</si>
  <si>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</si>
  <si>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</si>
  <si>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</si>
  <si>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</si>
  <si>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</si>
  <si>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</si>
  <si>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</si>
  <si>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</si>
  <si>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</si>
  <si>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</si>
  <si>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</si>
  <si>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</si>
  <si>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</si>
  <si>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</si>
  <si>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</si>
  <si>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</si>
  <si>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</si>
  <si>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</si>
  <si>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</si>
  <si>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</si>
  <si>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</si>
  <si>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</si>
  <si>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</si>
  <si>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</si>
  <si>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</si>
  <si>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</si>
  <si>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</si>
  <si>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</si>
  <si>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</si>
  <si>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</si>
  <si>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</si>
  <si>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</si>
  <si>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</si>
  <si>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</si>
  <si>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</si>
  <si>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</si>
  <si>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</si>
  <si>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</si>
  <si>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</si>
  <si>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</si>
  <si>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</si>
  <si>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</si>
  <si>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Minnesota</t>
  </si>
  <si>
    <t>Louisiana</t>
  </si>
  <si>
    <t>Maine</t>
  </si>
  <si>
    <t>Maryland</t>
  </si>
  <si>
    <t>Massachusetts</t>
  </si>
  <si>
    <t>Charges</t>
  </si>
  <si>
    <t>Payment Option</t>
  </si>
  <si>
    <t>Monthly</t>
  </si>
  <si>
    <t>Quarterly</t>
  </si>
  <si>
    <t>Half Yearly</t>
  </si>
  <si>
    <t>Annual</t>
  </si>
  <si>
    <t>No. of Instalments Per Year</t>
  </si>
  <si>
    <t>Loan Amount</t>
  </si>
  <si>
    <t>State Charges</t>
  </si>
  <si>
    <t>Charges on Loan</t>
  </si>
  <si>
    <t>Total Installments</t>
  </si>
  <si>
    <t>Interest rate during each Instalment</t>
  </si>
  <si>
    <t>Equated Instalment</t>
  </si>
  <si>
    <t>1st Bill Amount</t>
  </si>
  <si>
    <t>Bi-Monthly</t>
  </si>
  <si>
    <t>No of Instalments per Year</t>
  </si>
  <si>
    <t xml:space="preserve">Age </t>
  </si>
  <si>
    <t>John Smith</t>
  </si>
  <si>
    <t>Alice Spring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</si>
</sst>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[$-F800]dddd\,\ mmmm\ dd\,\ yyyy"/>
    <numFmt numFmtId="169" formatCode="0\ &quot;years&quot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1" fillId="0" borderId="0" applyFont="0" applyFill="0" applyBorder="0" applyAlignment="0" applyProtection="0"/>
  </cellStyleXfs>
  <cellXfs count="74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2" borderId="1" xfId="0" applyFont="1" applyFill="1" applyBorder="1"/>
    <xf numFmtId="0" fontId="0" fillId="0" borderId="6" xfId="0" applyBorder="1"/>
    <xf numFmtId="3" fontId="0" fillId="0" borderId="1" xfId="0" applyNumberFormat="1" applyBorder="1"/>
    <xf numFmtId="0" fontId="0" fillId="3" borderId="0" xfId="0" applyFill="1"/>
    <xf numFmtId="3" fontId="0" fillId="3" borderId="0" xfId="0" applyNumberFormat="1" applyFill="1"/>
    <xf numFmtId="0" fontId="1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7" xfId="0" applyNumberFormat="1" applyBorder="1"/>
    <xf numFmtId="3" fontId="0" fillId="0" borderId="7" xfId="0" applyNumberFormat="1" applyBorder="1"/>
    <xf numFmtId="0" fontId="1" fillId="0" borderId="8" xfId="0" applyFont="1" applyBorder="1"/>
    <xf numFmtId="0" fontId="5" fillId="0" borderId="0" xfId="0" applyFont="1"/>
    <xf numFmtId="0" fontId="2" fillId="2" borderId="0" xfId="0" applyFont="1" applyFill="1"/>
    <xf numFmtId="17" fontId="0" fillId="0" borderId="0" xfId="0" applyNumberFormat="1"/>
    <xf numFmtId="0" fontId="2" fillId="0" borderId="0" xfId="0" applyFont="1"/>
    <xf numFmtId="0" fontId="6" fillId="0" borderId="0" xfId="1"/>
    <xf numFmtId="0" fontId="8" fillId="0" borderId="0" xfId="0" applyFont="1"/>
    <xf numFmtId="14" fontId="0" fillId="0" borderId="0" xfId="0" applyNumberFormat="1"/>
    <xf numFmtId="15" fontId="0" fillId="0" borderId="0" xfId="0" applyNumberFormat="1"/>
    <xf numFmtId="0" fontId="6" fillId="0" borderId="0" xfId="1" applyFill="1"/>
    <xf numFmtId="2" fontId="0" fillId="0" borderId="0" xfId="0" applyNumberFormat="1"/>
    <xf numFmtId="0" fontId="10" fillId="0" borderId="0" xfId="0" applyFont="1"/>
    <xf numFmtId="22" fontId="0" fillId="0" borderId="0" xfId="0" applyNumberFormat="1"/>
    <xf numFmtId="1" fontId="0" fillId="0" borderId="0" xfId="0" applyNumberFormat="1"/>
    <xf numFmtId="0" fontId="0" fillId="4" borderId="7" xfId="0" applyFill="1" applyBorder="1" applyProtection="1">
      <protection locked="0"/>
    </xf>
    <xf numFmtId="0" fontId="10" fillId="4" borderId="7" xfId="0" applyFont="1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0" fontId="0" fillId="5" borderId="0" xfId="0" applyFill="1"/>
    <xf numFmtId="3" fontId="0" fillId="0" borderId="0" xfId="0" applyNumberFormat="1"/>
    <xf numFmtId="3" fontId="0" fillId="5" borderId="0" xfId="0" applyNumberFormat="1" applyFill="1"/>
    <xf numFmtId="0" fontId="7" fillId="0" borderId="0" xfId="0" applyFont="1"/>
    <xf numFmtId="0" fontId="1" fillId="6" borderId="7" xfId="0" applyFont="1" applyFill="1" applyBorder="1" applyAlignment="1">
      <alignment horizontal="center"/>
    </xf>
    <xf numFmtId="0" fontId="0" fillId="6" borderId="7" xfId="0" applyFill="1" applyBorder="1"/>
    <xf numFmtId="0" fontId="1" fillId="0" borderId="0" xfId="0" applyFont="1" applyAlignment="1">
      <alignment horizontal="center"/>
    </xf>
    <xf numFmtId="0" fontId="4" fillId="2" borderId="0" xfId="0" applyFont="1" applyFill="1"/>
    <xf numFmtId="0" fontId="4" fillId="2" borderId="7" xfId="0" applyFont="1" applyFill="1" applyBorder="1" applyAlignment="1">
      <alignment wrapText="1"/>
    </xf>
    <xf numFmtId="0" fontId="4" fillId="2" borderId="7" xfId="0" applyFont="1" applyFill="1" applyBorder="1"/>
    <xf numFmtId="0" fontId="0" fillId="6" borderId="0" xfId="0" applyFill="1"/>
    <xf numFmtId="0" fontId="2" fillId="2" borderId="7" xfId="0" applyFont="1" applyFill="1" applyBorder="1"/>
    <xf numFmtId="10" fontId="0" fillId="0" borderId="7" xfId="2" applyNumberFormat="1" applyFont="1" applyBorder="1"/>
    <xf numFmtId="0" fontId="2" fillId="7" borderId="7" xfId="0" applyFont="1" applyFill="1" applyBorder="1"/>
    <xf numFmtId="4" fontId="0" fillId="0" borderId="7" xfId="0" applyNumberFormat="1" applyBorder="1"/>
    <xf numFmtId="0" fontId="2" fillId="2" borderId="0" xfId="0" applyFont="1" applyFill="1" applyAlignment="1">
      <alignment horizontal="center"/>
    </xf>
    <xf numFmtId="4" fontId="1" fillId="0" borderId="7" xfId="0" applyNumberFormat="1" applyFont="1" applyBorder="1"/>
    <xf numFmtId="4" fontId="0" fillId="0" borderId="0" xfId="0" applyNumberFormat="1"/>
    <xf numFmtId="0" fontId="1" fillId="6" borderId="7" xfId="0" applyFont="1" applyFill="1" applyBorder="1"/>
    <xf numFmtId="0" fontId="1" fillId="6" borderId="10" xfId="0" applyFont="1" applyFill="1" applyBorder="1" applyAlignment="1">
      <alignment wrapText="1"/>
    </xf>
    <xf numFmtId="0" fontId="1" fillId="6" borderId="0" xfId="0" applyFont="1" applyFill="1"/>
    <xf numFmtId="0" fontId="0" fillId="0" borderId="0" xfId="0" applyAlignment="1">
      <alignment horizontal="right"/>
    </xf>
    <xf numFmtId="0" fontId="0" fillId="0" borderId="11" xfId="0" applyBorder="1"/>
    <xf numFmtId="0" fontId="0" fillId="0" borderId="12" xfId="0" applyBorder="1"/>
    <xf numFmtId="0" fontId="2" fillId="2" borderId="13" xfId="0" applyFont="1" applyFill="1" applyBorder="1"/>
    <xf numFmtId="0" fontId="2" fillId="2" borderId="14" xfId="0" applyFont="1" applyFill="1" applyBorder="1"/>
    <xf numFmtId="2" fontId="0" fillId="0" borderId="7" xfId="0" applyNumberFormat="1" applyBorder="1"/>
    <xf numFmtId="0" fontId="0" fillId="8" borderId="0" xfId="0" applyFill="1"/>
    <xf numFmtId="0" fontId="0" fillId="9" borderId="0" xfId="0" applyFill="1"/>
    <xf numFmtId="0" fontId="0" fillId="0" borderId="9" xfId="0" applyBorder="1" applyAlignment="1">
      <alignment horizontal="center" textRotation="90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12" fillId="0" borderId="0" xfId="0" applyFont="1"/>
    <xf numFmtId="10" fontId="0" fillId="0" borderId="0" xfId="2" applyNumberFormat="1" applyFont="1"/>
    <xf numFmtId="0" fontId="12" fillId="6" borderId="0" xfId="0" applyFont="1" applyFill="1"/>
    <xf numFmtId="169" fontId="0" fillId="3" borderId="0" xfId="0" applyNumberFormat="1" applyFill="1"/>
    <xf numFmtId="10" fontId="0" fillId="3" borderId="0" xfId="2" applyNumberFormat="1" applyFont="1" applyFill="1"/>
    <xf numFmtId="4" fontId="0" fillId="3" borderId="0" xfId="0" applyNumberFormat="1" applyFill="1"/>
    <xf numFmtId="3" fontId="0" fillId="3" borderId="0" xfId="0" applyNumberFormat="1" applyFill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20" formatCode="dd\-mmm\-yy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ComboCharts!$C$1</c:f>
              <c:strCache>
                <c:ptCount val="1"/>
                <c:pt idx="0">
                  <c:v>Sales Actual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ComboCharts!$A$2:$A$11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ComboCharts!$C$2:$C$11</c:f>
              <c:numCache>
                <c:formatCode>General</c:formatCode>
                <c:ptCount val="10"/>
                <c:pt idx="0">
                  <c:v>200</c:v>
                </c:pt>
                <c:pt idx="1">
                  <c:v>220</c:v>
                </c:pt>
                <c:pt idx="2">
                  <c:v>242</c:v>
                </c:pt>
                <c:pt idx="3">
                  <c:v>330</c:v>
                </c:pt>
                <c:pt idx="4">
                  <c:v>320</c:v>
                </c:pt>
                <c:pt idx="5">
                  <c:v>385</c:v>
                </c:pt>
                <c:pt idx="6">
                  <c:v>450</c:v>
                </c:pt>
                <c:pt idx="7">
                  <c:v>480</c:v>
                </c:pt>
                <c:pt idx="8">
                  <c:v>530</c:v>
                </c:pt>
                <c:pt idx="9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BA-4F74-8175-9AFCB4503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6259880"/>
        <c:axId val="583511880"/>
      </c:barChart>
      <c:lineChart>
        <c:grouping val="standard"/>
        <c:varyColors val="0"/>
        <c:ser>
          <c:idx val="1"/>
          <c:order val="0"/>
          <c:tx>
            <c:strRef>
              <c:f>ComboCharts!$B$1</c:f>
              <c:strCache>
                <c:ptCount val="1"/>
                <c:pt idx="0">
                  <c:v>Sales Estimate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ComboCharts!$A$2:$A$11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ComboCharts!$B$2:$B$11</c:f>
              <c:numCache>
                <c:formatCode>General</c:formatCode>
                <c:ptCount val="10"/>
                <c:pt idx="0">
                  <c:v>240</c:v>
                </c:pt>
                <c:pt idx="1">
                  <c:v>265</c:v>
                </c:pt>
                <c:pt idx="2">
                  <c:v>300</c:v>
                </c:pt>
                <c:pt idx="3">
                  <c:v>320</c:v>
                </c:pt>
                <c:pt idx="4">
                  <c:v>350</c:v>
                </c:pt>
                <c:pt idx="5">
                  <c:v>390</c:v>
                </c:pt>
                <c:pt idx="6">
                  <c:v>430</c:v>
                </c:pt>
                <c:pt idx="7">
                  <c:v>475</c:v>
                </c:pt>
                <c:pt idx="8">
                  <c:v>520</c:v>
                </c:pt>
                <c:pt idx="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BA-4F74-8175-9AFCB4503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259880"/>
        <c:axId val="583511880"/>
      </c:lineChart>
      <c:catAx>
        <c:axId val="46625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11880"/>
        <c:crosses val="autoZero"/>
        <c:auto val="1"/>
        <c:lblAlgn val="ctr"/>
        <c:lblOffset val="100"/>
        <c:noMultiLvlLbl val="0"/>
      </c:catAx>
      <c:valAx>
        <c:axId val="58351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25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ComboCharts!$C$18</c:f>
              <c:strCache>
                <c:ptCount val="1"/>
                <c:pt idx="0">
                  <c:v>Sale Volume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DA-4A45-BA3C-AF0E459E161D}"/>
              </c:ext>
            </c:extLst>
          </c:dPt>
          <c:cat>
            <c:numRef>
              <c:f>ComboCharts!$A$19:$A$28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ComboCharts!$C$19:$C$28</c:f>
              <c:numCache>
                <c:formatCode>#,##0</c:formatCode>
                <c:ptCount val="10"/>
                <c:pt idx="0">
                  <c:v>2400</c:v>
                </c:pt>
                <c:pt idx="1">
                  <c:v>3000</c:v>
                </c:pt>
                <c:pt idx="2">
                  <c:v>3200</c:v>
                </c:pt>
                <c:pt idx="3">
                  <c:v>4100</c:v>
                </c:pt>
                <c:pt idx="4">
                  <c:v>3950</c:v>
                </c:pt>
                <c:pt idx="5">
                  <c:v>4850</c:v>
                </c:pt>
                <c:pt idx="6">
                  <c:v>5200</c:v>
                </c:pt>
                <c:pt idx="7">
                  <c:v>5750</c:v>
                </c:pt>
                <c:pt idx="8">
                  <c:v>6500</c:v>
                </c:pt>
                <c:pt idx="9">
                  <c:v>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DA-4A45-BA3C-AF0E459E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201944"/>
        <c:axId val="573203384"/>
      </c:barChart>
      <c:lineChart>
        <c:grouping val="standard"/>
        <c:varyColors val="0"/>
        <c:ser>
          <c:idx val="1"/>
          <c:order val="0"/>
          <c:tx>
            <c:strRef>
              <c:f>ComboCharts!$B$18</c:f>
              <c:strCache>
                <c:ptCount val="1"/>
                <c:pt idx="0">
                  <c:v>Sales ($ mn.)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ComboCharts!$A$19:$A$28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ComboCharts!$B$19:$B$28</c:f>
              <c:numCache>
                <c:formatCode>General</c:formatCode>
                <c:ptCount val="10"/>
                <c:pt idx="0">
                  <c:v>200</c:v>
                </c:pt>
                <c:pt idx="1">
                  <c:v>220</c:v>
                </c:pt>
                <c:pt idx="2">
                  <c:v>242</c:v>
                </c:pt>
                <c:pt idx="3">
                  <c:v>330</c:v>
                </c:pt>
                <c:pt idx="4">
                  <c:v>320</c:v>
                </c:pt>
                <c:pt idx="5">
                  <c:v>385</c:v>
                </c:pt>
                <c:pt idx="6">
                  <c:v>450</c:v>
                </c:pt>
                <c:pt idx="7">
                  <c:v>480</c:v>
                </c:pt>
                <c:pt idx="8">
                  <c:v>530</c:v>
                </c:pt>
                <c:pt idx="9">
                  <c:v>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DA-4A45-BA3C-AF0E459E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62432"/>
        <c:axId val="572363152"/>
      </c:lineChart>
      <c:catAx>
        <c:axId val="572362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63152"/>
        <c:crosses val="autoZero"/>
        <c:auto val="1"/>
        <c:lblAlgn val="ctr"/>
        <c:lblOffset val="100"/>
        <c:noMultiLvlLbl val="0"/>
      </c:catAx>
      <c:valAx>
        <c:axId val="57236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Sales ($ mn.)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62432"/>
        <c:crosses val="autoZero"/>
        <c:crossBetween val="between"/>
      </c:valAx>
      <c:valAx>
        <c:axId val="573203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Sale 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01944"/>
        <c:crosses val="max"/>
        <c:crossBetween val="between"/>
      </c:valAx>
      <c:catAx>
        <c:axId val="573201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3203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ComboCharts!$A$36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ComboCharts!$B$36:$K$36</c:f>
              <c:numCache>
                <c:formatCode>General</c:formatCode>
                <c:ptCount val="10"/>
                <c:pt idx="0">
                  <c:v>200</c:v>
                </c:pt>
                <c:pt idx="1">
                  <c:v>220</c:v>
                </c:pt>
                <c:pt idx="2">
                  <c:v>242</c:v>
                </c:pt>
                <c:pt idx="3">
                  <c:v>330</c:v>
                </c:pt>
                <c:pt idx="4">
                  <c:v>320</c:v>
                </c:pt>
                <c:pt idx="5">
                  <c:v>385</c:v>
                </c:pt>
                <c:pt idx="6">
                  <c:v>450</c:v>
                </c:pt>
                <c:pt idx="7">
                  <c:v>480</c:v>
                </c:pt>
                <c:pt idx="8">
                  <c:v>530</c:v>
                </c:pt>
                <c:pt idx="9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A-4A54-ACAE-BA9987D215F1}"/>
            </c:ext>
          </c:extLst>
        </c:ser>
        <c:ser>
          <c:idx val="1"/>
          <c:order val="1"/>
          <c:tx>
            <c:strRef>
              <c:f>ComboCharts!$A$38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ComboCharts!$B$38:$K$38</c:f>
              <c:numCache>
                <c:formatCode>General</c:formatCode>
                <c:ptCount val="10"/>
                <c:pt idx="0">
                  <c:v>-40</c:v>
                </c:pt>
                <c:pt idx="1">
                  <c:v>-35</c:v>
                </c:pt>
                <c:pt idx="2">
                  <c:v>-8</c:v>
                </c:pt>
                <c:pt idx="3">
                  <c:v>35</c:v>
                </c:pt>
                <c:pt idx="4">
                  <c:v>45</c:v>
                </c:pt>
                <c:pt idx="5">
                  <c:v>75</c:v>
                </c:pt>
                <c:pt idx="6">
                  <c:v>105</c:v>
                </c:pt>
                <c:pt idx="7">
                  <c:v>120</c:v>
                </c:pt>
                <c:pt idx="8">
                  <c:v>132</c:v>
                </c:pt>
                <c:pt idx="9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BA-4A54-ACAE-BA9987D21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43355288"/>
        <c:axId val="543359248"/>
      </c:barChart>
      <c:lineChart>
        <c:grouping val="standard"/>
        <c:varyColors val="0"/>
        <c:ser>
          <c:idx val="2"/>
          <c:order val="2"/>
          <c:tx>
            <c:strRef>
              <c:f>ComboCharts!$A$39</c:f>
              <c:strCache>
                <c:ptCount val="1"/>
                <c:pt idx="0">
                  <c:v>Profit Margin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ComboCharts!$B$39:$K$39</c:f>
              <c:numCache>
                <c:formatCode>0.00%</c:formatCode>
                <c:ptCount val="10"/>
                <c:pt idx="0">
                  <c:v>-0.2</c:v>
                </c:pt>
                <c:pt idx="1">
                  <c:v>-0.15909090909090909</c:v>
                </c:pt>
                <c:pt idx="2">
                  <c:v>-3.3057851239669422E-2</c:v>
                </c:pt>
                <c:pt idx="3">
                  <c:v>0.10606060606060606</c:v>
                </c:pt>
                <c:pt idx="4">
                  <c:v>0.140625</c:v>
                </c:pt>
                <c:pt idx="5">
                  <c:v>0.19480519480519481</c:v>
                </c:pt>
                <c:pt idx="6">
                  <c:v>0.23333333333333334</c:v>
                </c:pt>
                <c:pt idx="7">
                  <c:v>0.25</c:v>
                </c:pt>
                <c:pt idx="8">
                  <c:v>0.24905660377358491</c:v>
                </c:pt>
                <c:pt idx="9">
                  <c:v>0.25225225225225223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BA-4A54-ACAE-BA9987D21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151136"/>
        <c:axId val="543154016"/>
      </c:lineChart>
      <c:catAx>
        <c:axId val="54335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359248"/>
        <c:crosses val="autoZero"/>
        <c:auto val="1"/>
        <c:lblAlgn val="ctr"/>
        <c:lblOffset val="100"/>
        <c:noMultiLvlLbl val="0"/>
      </c:catAx>
      <c:valAx>
        <c:axId val="54335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355288"/>
        <c:crosses val="autoZero"/>
        <c:crossBetween val="between"/>
      </c:valAx>
      <c:valAx>
        <c:axId val="543154016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1136"/>
        <c:crosses val="max"/>
        <c:crossBetween val="between"/>
      </c:valAx>
      <c:catAx>
        <c:axId val="543151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154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ComboCharts!$A$37</c:f>
              <c:strCache>
                <c:ptCount val="1"/>
                <c:pt idx="0">
                  <c:v>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ComboCharts!$B$37:$K$37</c:f>
              <c:numCache>
                <c:formatCode>General</c:formatCode>
                <c:ptCount val="10"/>
                <c:pt idx="0">
                  <c:v>240</c:v>
                </c:pt>
                <c:pt idx="1">
                  <c:v>255</c:v>
                </c:pt>
                <c:pt idx="2">
                  <c:v>250</c:v>
                </c:pt>
                <c:pt idx="3">
                  <c:v>295</c:v>
                </c:pt>
                <c:pt idx="4">
                  <c:v>275</c:v>
                </c:pt>
                <c:pt idx="5">
                  <c:v>310</c:v>
                </c:pt>
                <c:pt idx="6">
                  <c:v>345</c:v>
                </c:pt>
                <c:pt idx="7">
                  <c:v>360</c:v>
                </c:pt>
                <c:pt idx="8">
                  <c:v>398</c:v>
                </c:pt>
                <c:pt idx="9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4-4169-989D-845D82E3CAA5}"/>
            </c:ext>
          </c:extLst>
        </c:ser>
        <c:ser>
          <c:idx val="2"/>
          <c:order val="1"/>
          <c:tx>
            <c:strRef>
              <c:f>ComboCharts!$A$38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ComboCharts!$B$38:$K$38</c:f>
              <c:numCache>
                <c:formatCode>General</c:formatCode>
                <c:ptCount val="10"/>
                <c:pt idx="0">
                  <c:v>-40</c:v>
                </c:pt>
                <c:pt idx="1">
                  <c:v>-35</c:v>
                </c:pt>
                <c:pt idx="2">
                  <c:v>-8</c:v>
                </c:pt>
                <c:pt idx="3">
                  <c:v>35</c:v>
                </c:pt>
                <c:pt idx="4">
                  <c:v>45</c:v>
                </c:pt>
                <c:pt idx="5">
                  <c:v>75</c:v>
                </c:pt>
                <c:pt idx="6">
                  <c:v>105</c:v>
                </c:pt>
                <c:pt idx="7">
                  <c:v>120</c:v>
                </c:pt>
                <c:pt idx="8">
                  <c:v>132</c:v>
                </c:pt>
                <c:pt idx="9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04-4169-989D-845D82E3C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453088"/>
        <c:axId val="543453808"/>
      </c:barChart>
      <c:lineChart>
        <c:grouping val="standard"/>
        <c:varyColors val="0"/>
        <c:ser>
          <c:idx val="3"/>
          <c:order val="2"/>
          <c:tx>
            <c:strRef>
              <c:f>ComboCharts!$A$39</c:f>
              <c:strCache>
                <c:ptCount val="1"/>
                <c:pt idx="0">
                  <c:v>Profit Margin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ComboCharts!$B$35:$K$35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ComboCharts!$B$39:$K$39</c:f>
              <c:numCache>
                <c:formatCode>0.00%</c:formatCode>
                <c:ptCount val="10"/>
                <c:pt idx="0">
                  <c:v>-0.2</c:v>
                </c:pt>
                <c:pt idx="1">
                  <c:v>-0.15909090909090909</c:v>
                </c:pt>
                <c:pt idx="2">
                  <c:v>-3.3057851239669422E-2</c:v>
                </c:pt>
                <c:pt idx="3">
                  <c:v>0.10606060606060606</c:v>
                </c:pt>
                <c:pt idx="4">
                  <c:v>0.140625</c:v>
                </c:pt>
                <c:pt idx="5">
                  <c:v>0.19480519480519481</c:v>
                </c:pt>
                <c:pt idx="6">
                  <c:v>0.23333333333333334</c:v>
                </c:pt>
                <c:pt idx="7">
                  <c:v>0.25</c:v>
                </c:pt>
                <c:pt idx="8">
                  <c:v>0.24905660377358491</c:v>
                </c:pt>
                <c:pt idx="9">
                  <c:v>0.25225225225225223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04-4169-989D-845D82E3C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151496"/>
        <c:axId val="543148616"/>
      </c:lineChart>
      <c:catAx>
        <c:axId val="54345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53808"/>
        <c:crosses val="autoZero"/>
        <c:auto val="1"/>
        <c:lblAlgn val="ctr"/>
        <c:lblOffset val="100"/>
        <c:noMultiLvlLbl val="0"/>
      </c:catAx>
      <c:valAx>
        <c:axId val="54345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53088"/>
        <c:crosses val="autoZero"/>
        <c:crossBetween val="between"/>
      </c:valAx>
      <c:valAx>
        <c:axId val="54314861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151496"/>
        <c:crosses val="max"/>
        <c:crossBetween val="between"/>
      </c:valAx>
      <c:catAx>
        <c:axId val="543151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43148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3"/>
          <c:order val="0"/>
          <c:tx>
            <c:strRef>
              <c:f>RadarChart!$B$3</c:f>
              <c:strCache>
                <c:ptCount val="1"/>
                <c:pt idx="0">
                  <c:v>Benchmark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RadarChart!$B$4:$B$8</c:f>
              <c:numCache>
                <c:formatCode>General</c:formatCode>
                <c:ptCount val="5"/>
                <c:pt idx="0">
                  <c:v>4</c:v>
                </c:pt>
                <c:pt idx="1">
                  <c:v>4.5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E53-8837-552C3ACBC427}"/>
            </c:ext>
          </c:extLst>
        </c:ser>
        <c:ser>
          <c:idx val="0"/>
          <c:order val="1"/>
          <c:tx>
            <c:strRef>
              <c:f>RadarChart!$C$3</c:f>
              <c:strCache>
                <c:ptCount val="1"/>
                <c:pt idx="0">
                  <c:v>Participant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RadarChart!$A$4:$A$8</c:f>
              <c:strCache>
                <c:ptCount val="5"/>
                <c:pt idx="0">
                  <c:v>Course Content</c:v>
                </c:pt>
                <c:pt idx="1">
                  <c:v>Subject Knowledge</c:v>
                </c:pt>
                <c:pt idx="2">
                  <c:v>Clarity</c:v>
                </c:pt>
                <c:pt idx="3">
                  <c:v>Time Management</c:v>
                </c:pt>
                <c:pt idx="4">
                  <c:v>Meets Learning Goals</c:v>
                </c:pt>
              </c:strCache>
            </c:strRef>
          </c:cat>
          <c:val>
            <c:numRef>
              <c:f>RadarChart!$C$4:$C$8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A-4E53-8837-552C3ACBC427}"/>
            </c:ext>
          </c:extLst>
        </c:ser>
        <c:ser>
          <c:idx val="1"/>
          <c:order val="2"/>
          <c:tx>
            <c:strRef>
              <c:f>RadarChart!$D$3</c:f>
              <c:strCache>
                <c:ptCount val="1"/>
                <c:pt idx="0">
                  <c:v>Participant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RadarChart!$A$4:$A$8</c:f>
              <c:strCache>
                <c:ptCount val="5"/>
                <c:pt idx="0">
                  <c:v>Course Content</c:v>
                </c:pt>
                <c:pt idx="1">
                  <c:v>Subject Knowledge</c:v>
                </c:pt>
                <c:pt idx="2">
                  <c:v>Clarity</c:v>
                </c:pt>
                <c:pt idx="3">
                  <c:v>Time Management</c:v>
                </c:pt>
                <c:pt idx="4">
                  <c:v>Meets Learning Goals</c:v>
                </c:pt>
              </c:strCache>
            </c:strRef>
          </c:cat>
          <c:val>
            <c:numRef>
              <c:f>RadarChart!$D$4:$D$8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E53-8837-552C3ACBC427}"/>
            </c:ext>
          </c:extLst>
        </c:ser>
        <c:ser>
          <c:idx val="2"/>
          <c:order val="3"/>
          <c:tx>
            <c:strRef>
              <c:f>RadarChart!$E$3</c:f>
              <c:strCache>
                <c:ptCount val="1"/>
                <c:pt idx="0">
                  <c:v>Participant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RadarChart!$A$4:$A$8</c:f>
              <c:strCache>
                <c:ptCount val="5"/>
                <c:pt idx="0">
                  <c:v>Course Content</c:v>
                </c:pt>
                <c:pt idx="1">
                  <c:v>Subject Knowledge</c:v>
                </c:pt>
                <c:pt idx="2">
                  <c:v>Clarity</c:v>
                </c:pt>
                <c:pt idx="3">
                  <c:v>Time Management</c:v>
                </c:pt>
                <c:pt idx="4">
                  <c:v>Meets Learning Goals</c:v>
                </c:pt>
              </c:strCache>
            </c:strRef>
          </c:cat>
          <c:val>
            <c:numRef>
              <c:f>RadarChart!$E$4:$E$8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9A-4E53-8837-552C3ACBC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04632"/>
        <c:axId val="553912552"/>
      </c:radarChart>
      <c:catAx>
        <c:axId val="553904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12552"/>
        <c:crosses val="autoZero"/>
        <c:auto val="1"/>
        <c:lblAlgn val="ctr"/>
        <c:lblOffset val="100"/>
        <c:noMultiLvlLbl val="0"/>
      </c:catAx>
      <c:valAx>
        <c:axId val="55391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0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plotArea>
      <cx:plotAreaRegion>
        <cx:series layoutId="waterfall" uniqueId="{7FA1358C-EB12-4FC5-8376-5C68E349376A}">
          <cx:tx>
            <cx:txData>
              <cx:f>_xlchart.v1.1</cx:f>
              <cx:v>Change in Inventory</cx:v>
            </cx:txData>
          </cx:tx>
          <cx:spPr>
            <a:ln w="28575"/>
          </cx:spPr>
          <cx:dataLabels pos="outEnd">
            <cx:visibility seriesName="0" categoryName="0" value="1"/>
          </cx:dataLabels>
          <cx:dataId val="0"/>
          <cx:layoutPr>
            <cx:subtotals>
              <cx:idx val="0"/>
              <cx:idx val="6"/>
            </cx:subtotals>
          </cx:layoutPr>
        </cx:series>
      </cx:plotAreaRegion>
      <cx:axis id="0">
        <cx:catScaling gapWidth="0.5"/>
        <cx:tickLabels/>
      </cx:axis>
      <cx:axis id="1">
        <cx:valScaling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plotArea>
      <cx:plotAreaRegion>
        <cx:series layoutId="waterfall" uniqueId="{D28880BB-DC61-41BE-A9F4-4A598D327FA2}">
          <cx:dataLabels pos="outEnd">
            <cx:visibility seriesName="0" categoryName="0" value="1"/>
          </cx:dataLabels>
          <cx:dataId val="0"/>
          <cx:layoutPr>
            <cx:subtotals>
              <cx:idx val="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Age Distribution</a:t>
            </a:r>
          </a:p>
        </cx:rich>
      </cx:tx>
    </cx:title>
    <cx:plotArea>
      <cx:plotAreaRegion>
        <cx:series layoutId="boxWhisker" uniqueId="{A6822630-1AA7-4B2C-AAE3-B0E19C81BA1B}">
          <cx:tx>
            <cx:txData>
              <cx:f>_xlchart.v1.6</cx:f>
              <cx:v>Age</cx:v>
            </cx:txData>
          </cx:tx>
          <cx:spPr>
            <a:solidFill>
              <a:schemeClr val="accent4">
                <a:lumMod val="40000"/>
                <a:lumOff val="60000"/>
              </a:schemeClr>
            </a:solidFill>
          </cx:spPr>
          <cx:dataLabels>
            <cx:visibility seriesName="0" categoryName="0" value="1"/>
          </cx:dataLabels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_xlchart.v1.10</cx:f>
      </cx:numDim>
    </cx:data>
  </cx:chartData>
  <cx:chart>
    <cx:title pos="t" align="ctr" overlay="0">
      <cx:tx>
        <cx:txData>
          <cx:v>Salary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Salary Distribution</a:t>
          </a:r>
        </a:p>
      </cx:txPr>
    </cx:title>
    <cx:plotArea>
      <cx:plotAreaRegion>
        <cx:series layoutId="boxWhisker" uniqueId="{E000E445-B4A7-43F8-A57E-9E4E0B5603D9}">
          <cx:tx>
            <cx:txData>
              <cx:f>_xlchart.v1.9</cx:f>
              <cx:v>Monthly Salary ($)</cx:v>
            </cx:txData>
          </cx:tx>
          <cx:spPr>
            <a:solidFill>
              <a:schemeClr val="accent4">
                <a:lumMod val="40000"/>
                <a:lumOff val="60000"/>
              </a:schemeClr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size">
        <cx:f>_xlchart.v1.13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chemeClr val="bg1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A688CA8A-E230-4CF9-B231-6E509F7EBFB4}">
          <cx:tx>
            <cx:txData>
              <cx:f>_xlchart.v1.12</cx:f>
              <cx:v>Sum of Sales ($)</cx:v>
            </cx:txData>
          </cx:tx>
          <cx:dataLabels pos="inEnd">
            <cx:visibility seriesName="0" categoryName="1" value="1"/>
            <cx:separator>, </cx:separator>
          </cx:dataLabels>
          <cx:dataId val="0"/>
          <cx:layoutPr>
            <cx:parentLabelLayout val="banner"/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endParaRPr lang="en-US" sz="900" b="0" i="0" u="none" strike="noStrike" baseline="0">
            <a:solidFill>
              <a:schemeClr val="bg1"/>
            </a:solidFill>
            <a:latin typeface="Calibri" panose="020F0502020204030204"/>
          </a:endParaRPr>
        </a:p>
      </cx:txPr>
    </cx:legend>
  </cx:chart>
  <cx:spPr>
    <a:solidFill>
      <a:schemeClr val="bg2">
        <a:lumMod val="25000"/>
      </a:schemeClr>
    </a:solidFill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size">
        <cx:f>_xlchart.v1.16</cx:f>
      </cx:numDim>
    </cx:data>
  </cx:chartData>
  <cx:chart>
    <cx:plotArea>
      <cx:plotAreaRegion>
        <cx:series layoutId="sunburst" uniqueId="{C798EF06-FA39-41DA-B3C5-69830CE02C58}">
          <cx:tx>
            <cx:txData>
              <cx:f>_xlchart.v1.15</cx:f>
              <cx:v>Sales ($)</cx:v>
            </cx:txData>
          </cx:tx>
          <cx:dataLabels>
            <cx:visibility seriesName="0" categoryName="1" value="0"/>
          </cx:dataLabels>
          <cx:dataId val="0"/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G$3" horiz="1" max="30000" min="100" page="1000" val="1100"/>
</file>

<file path=xl/ctrlProps/ctrlProp2.xml><?xml version="1.0" encoding="utf-8"?>
<formControlPr xmlns="http://schemas.microsoft.com/office/spreadsheetml/2009/9/main" objectType="Scroll" dx="22" fmlaLink="$G$3" horiz="1" max="30000" min="100" page="1000" val="30000"/>
</file>

<file path=xl/ctrlProps/ctrlProp3.xml><?xml version="1.0" encoding="utf-8"?>
<formControlPr xmlns="http://schemas.microsoft.com/office/spreadsheetml/2009/9/main" objectType="Spin" dx="22" fmlaLink="$G$5" max="20" page="10" val="5"/>
</file>

<file path=xl/ctrlProps/ctrlProp4.xml><?xml version="1.0" encoding="utf-8"?>
<formControlPr xmlns="http://schemas.microsoft.com/office/spreadsheetml/2009/9/main" objectType="Scroll" dx="22" fmlaLink="$G$7" horiz="1" inc="5" max="1500" page="25" val="600"/>
</file>

<file path=xl/ctrlProps/ctrlProp5.xml><?xml version="1.0" encoding="utf-8"?>
<formControlPr xmlns="http://schemas.microsoft.com/office/spreadsheetml/2009/9/main" objectType="Radio" firstButton="1" fmlaLink="$G$9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Scroll" dx="22" fmlaLink="$G$3" horiz="1" max="30000" min="100" page="1000" val="30000"/>
</file>

<file path=xl/ctrlProps/ctrlProp11.xml><?xml version="1.0" encoding="utf-8"?>
<formControlPr xmlns="http://schemas.microsoft.com/office/spreadsheetml/2009/9/main" objectType="Spin" dx="22" fmlaLink="$G$5" max="20" page="10" val="3"/>
</file>

<file path=xl/ctrlProps/ctrlProp12.xml><?xml version="1.0" encoding="utf-8"?>
<formControlPr xmlns="http://schemas.microsoft.com/office/spreadsheetml/2009/9/main" objectType="Scroll" dx="22" fmlaLink="$G$7" horiz="1" inc="5" max="1500" page="25" val="600"/>
</file>

<file path=xl/ctrlProps/ctrlProp13.xml><?xml version="1.0" encoding="utf-8"?>
<formControlPr xmlns="http://schemas.microsoft.com/office/spreadsheetml/2009/9/main" objectType="Radio" firstButton="1" fmlaLink="$G$9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Drop" dropLines="10" dropStyle="combo" dx="22" fmlaLink="$G$16" fmlaRange="Dataset!$B$3:$B$53" noThreeD="1" sel="33" val="2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316970</xdr:colOff>
      <xdr:row>0</xdr:row>
      <xdr:rowOff>25400</xdr:rowOff>
    </xdr:from>
    <xdr:to>
      <xdr:col>11</xdr:col>
      <xdr:colOff>12170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340F59-AE29-96CE-62A8-7B17E1C1C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322792</xdr:colOff>
      <xdr:row>17</xdr:row>
      <xdr:rowOff>9524</xdr:rowOff>
    </xdr:from>
    <xdr:to>
      <xdr:col>10</xdr:col>
      <xdr:colOff>597958</xdr:colOff>
      <xdr:row>31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A8C980-6E9A-2B3D-4E0C-15F7DD9175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184547</xdr:colOff>
      <xdr:row>40</xdr:row>
      <xdr:rowOff>69056</xdr:rowOff>
    </xdr:from>
    <xdr:to>
      <xdr:col>6</xdr:col>
      <xdr:colOff>410766</xdr:colOff>
      <xdr:row>54</xdr:row>
      <xdr:rowOff>145256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56E2D0-AE74-2190-329E-BFB5A84A5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101203</xdr:colOff>
      <xdr:row>40</xdr:row>
      <xdr:rowOff>33338</xdr:rowOff>
    </xdr:from>
    <xdr:to>
      <xdr:col>14</xdr:col>
      <xdr:colOff>422672</xdr:colOff>
      <xdr:row>54</xdr:row>
      <xdr:rowOff>109538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B65696-651E-DEC1-112E-C37277387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2</xdr:row>
      <xdr:rowOff>4762</xdr:rowOff>
    </xdr:from>
    <xdr:to>
      <xdr:col>9</xdr:col>
      <xdr:colOff>433387</xdr:colOff>
      <xdr:row>16</xdr:row>
      <xdr:rowOff>80962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4CBB56B-F5A5-032E-B8D3-D13B4E81FC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52712" y="3857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138113</xdr:colOff>
      <xdr:row>19</xdr:row>
      <xdr:rowOff>19578</xdr:rowOff>
    </xdr:from>
    <xdr:to>
      <xdr:col>9</xdr:col>
      <xdr:colOff>74083</xdr:colOff>
      <xdr:row>33</xdr:row>
      <xdr:rowOff>95778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A2808AB9-2F1C-F902-55F1-3DF25DDF0E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71838" y="3639078"/>
              <a:ext cx="359357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298450</xdr:colOff>
      <xdr:row>2</xdr:row>
      <xdr:rowOff>22225</xdr:rowOff>
    </xdr:from>
    <xdr:to>
      <xdr:col>11</xdr:col>
      <xdr:colOff>603250</xdr:colOff>
      <xdr:row>16</xdr:row>
      <xdr:rowOff>98425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AB177F7-1E85-D657-6FFC-695F1BAD59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53367" y="403225"/>
              <a:ext cx="460163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1</xdr:row>
      <xdr:rowOff>38100</xdr:rowOff>
    </xdr:from>
    <xdr:to>
      <xdr:col>13</xdr:col>
      <xdr:colOff>352425</xdr:colOff>
      <xdr:row>20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48D42C7-04BD-5693-31E0-EE99FC0576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6925" y="228600"/>
              <a:ext cx="45720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</xdr:row>
      <xdr:rowOff>28575</xdr:rowOff>
    </xdr:from>
    <xdr:to>
      <xdr:col>14</xdr:col>
      <xdr:colOff>428625</xdr:colOff>
      <xdr:row>19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B10BBFA-DD0D-F494-929D-A747765EDF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099" y="409575"/>
              <a:ext cx="6353176" cy="3276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280985</xdr:colOff>
      <xdr:row>2</xdr:row>
      <xdr:rowOff>145255</xdr:rowOff>
    </xdr:from>
    <xdr:to>
      <xdr:col>17</xdr:col>
      <xdr:colOff>-1</xdr:colOff>
      <xdr:row>29</xdr:row>
      <xdr:rowOff>130969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C05B865-FC15-DDF9-04E8-B36F8E7A47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26579" y="526255"/>
              <a:ext cx="7612858" cy="51292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385761</xdr:colOff>
      <xdr:row>8</xdr:row>
      <xdr:rowOff>185737</xdr:rowOff>
    </xdr:from>
    <xdr:to>
      <xdr:col>6</xdr:col>
      <xdr:colOff>400049</xdr:colOff>
      <xdr:row>28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E5CC2B-F43A-7C78-F655-3EADECA354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171449</xdr:rowOff>
        </xdr:from>
        <xdr:to>
          <xdr:col>5</xdr:col>
          <xdr:colOff>9525</xdr:colOff>
          <xdr:row>3</xdr:row>
          <xdr:rowOff>47624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171449</xdr:rowOff>
        </xdr:from>
        <xdr:to>
          <xdr:col>5</xdr:col>
          <xdr:colOff>9525</xdr:colOff>
          <xdr:row>3</xdr:row>
          <xdr:rowOff>19050</xdr:rowOff>
        </xdr:to>
        <xdr:sp macro="" textlink="">
          <xdr:nvSpPr>
            <xdr:cNvPr id="23553" name="Scroll Bar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178A4C15-C3E7-4504-9F22-92B0081B3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171450</xdr:rowOff>
        </xdr:from>
        <xdr:to>
          <xdr:col>2</xdr:col>
          <xdr:colOff>238125</xdr:colOff>
          <xdr:row>5</xdr:row>
          <xdr:rowOff>57150</xdr:rowOff>
        </xdr:to>
        <xdr:sp macro="" textlink="">
          <xdr:nvSpPr>
            <xdr:cNvPr id="23554" name="Spinner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4</xdr:col>
          <xdr:colOff>600075</xdr:colOff>
          <xdr:row>7</xdr:row>
          <xdr:rowOff>9525</xdr:rowOff>
        </xdr:to>
        <xdr:sp macro="" textlink="">
          <xdr:nvSpPr>
            <xdr:cNvPr id="23555" name="Scroll Bar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5</xdr:col>
          <xdr:colOff>0</xdr:colOff>
          <xdr:row>9</xdr:row>
          <xdr:rowOff>28575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19050</xdr:rowOff>
        </xdr:from>
        <xdr:to>
          <xdr:col>5</xdr:col>
          <xdr:colOff>0</xdr:colOff>
          <xdr:row>10</xdr:row>
          <xdr:rowOff>47625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50F8270A-8B20-D5E8-6F17-F8F7EC6F7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28575</xdr:rowOff>
        </xdr:from>
        <xdr:to>
          <xdr:col>5</xdr:col>
          <xdr:colOff>0</xdr:colOff>
          <xdr:row>11</xdr:row>
          <xdr:rowOff>57150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20684086-90D4-62D4-5F78-B5249CC84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47625</xdr:rowOff>
        </xdr:from>
        <xdr:to>
          <xdr:col>5</xdr:col>
          <xdr:colOff>0</xdr:colOff>
          <xdr:row>12</xdr:row>
          <xdr:rowOff>76200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497CFC6B-3E38-463F-6780-D61A5EBC0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Half Yearly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76200</xdr:rowOff>
        </xdr:from>
        <xdr:to>
          <xdr:col>5</xdr:col>
          <xdr:colOff>0</xdr:colOff>
          <xdr:row>13</xdr:row>
          <xdr:rowOff>104775</xdr:rowOff>
        </xdr:to>
        <xdr:sp macro="" textlink="">
          <xdr:nvSpPr>
            <xdr:cNvPr id="23560" name="Option 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D8C796C-B0C5-4CFC-A101-645F684DF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Annual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2</xdr:row>
          <xdr:rowOff>9526</xdr:rowOff>
        </xdr:from>
        <xdr:to>
          <xdr:col>5</xdr:col>
          <xdr:colOff>1</xdr:colOff>
          <xdr:row>3</xdr:row>
          <xdr:rowOff>9526</xdr:rowOff>
        </xdr:to>
        <xdr:sp macro="" textlink="">
          <xdr:nvSpPr>
            <xdr:cNvPr id="25601" name="Scroll Bar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B11354F0-7BED-4BFB-B731-338C5EE37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171450</xdr:rowOff>
        </xdr:from>
        <xdr:to>
          <xdr:col>2</xdr:col>
          <xdr:colOff>238125</xdr:colOff>
          <xdr:row>5</xdr:row>
          <xdr:rowOff>57150</xdr:rowOff>
        </xdr:to>
        <xdr:sp macro="" textlink="">
          <xdr:nvSpPr>
            <xdr:cNvPr id="25602" name="Spinner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F05260CE-5086-46A1-9718-DCD311001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4</xdr:col>
          <xdr:colOff>600075</xdr:colOff>
          <xdr:row>7</xdr:row>
          <xdr:rowOff>9525</xdr:rowOff>
        </xdr:to>
        <xdr:sp macro="" textlink="">
          <xdr:nvSpPr>
            <xdr:cNvPr id="25603" name="Scroll Bar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85D1D835-3CC7-4B37-9C43-43FF0C2BF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5</xdr:col>
          <xdr:colOff>0</xdr:colOff>
          <xdr:row>9</xdr:row>
          <xdr:rowOff>28575</xdr:rowOff>
        </xdr:to>
        <xdr:sp macro="" textlink="">
          <xdr:nvSpPr>
            <xdr:cNvPr id="25604" name="Option 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D89BCAC2-85D3-4767-8A4E-021DCFF24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19050</xdr:rowOff>
        </xdr:from>
        <xdr:to>
          <xdr:col>5</xdr:col>
          <xdr:colOff>0</xdr:colOff>
          <xdr:row>10</xdr:row>
          <xdr:rowOff>47625</xdr:rowOff>
        </xdr:to>
        <xdr:sp macro="" textlink="">
          <xdr:nvSpPr>
            <xdr:cNvPr id="25605" name="Option 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2AAE0D33-D432-4B8F-8965-0415D9B67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28575</xdr:rowOff>
        </xdr:from>
        <xdr:to>
          <xdr:col>5</xdr:col>
          <xdr:colOff>0</xdr:colOff>
          <xdr:row>11</xdr:row>
          <xdr:rowOff>57150</xdr:rowOff>
        </xdr:to>
        <xdr:sp macro="" textlink="">
          <xdr:nvSpPr>
            <xdr:cNvPr id="25606" name="Option 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5DD509F1-B9D5-4C10-9529-013A3CB2C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47625</xdr:rowOff>
        </xdr:from>
        <xdr:to>
          <xdr:col>5</xdr:col>
          <xdr:colOff>0</xdr:colOff>
          <xdr:row>12</xdr:row>
          <xdr:rowOff>76200</xdr:rowOff>
        </xdr:to>
        <xdr:sp macro="" textlink="">
          <xdr:nvSpPr>
            <xdr:cNvPr id="25607" name="Option 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74CDC710-4488-4620-A4E3-7CD623D01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Half Yearly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76200</xdr:rowOff>
        </xdr:from>
        <xdr:to>
          <xdr:col>5</xdr:col>
          <xdr:colOff>0</xdr:colOff>
          <xdr:row>13</xdr:row>
          <xdr:rowOff>104775</xdr:rowOff>
        </xdr:to>
        <xdr:sp macro="" textlink="">
          <xdr:nvSpPr>
            <xdr:cNvPr id="25608" name="Option 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B578061A-3A26-4641-B326-84FD2EAB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5</xdr:col>
          <xdr:colOff>0</xdr:colOff>
          <xdr:row>16</xdr:row>
          <xdr:rowOff>9525</xdr:rowOff>
        </xdr:to>
        <xdr:sp macro="" textlink="">
          <xdr:nvSpPr>
            <xdr:cNvPr id="25609" name="Drop Dow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B1DB9786-1219-42A8-ADBF-3B4406862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6CAD0E-26C9-4AAC-A8B9-A373003C38FF}" name="Table1" displayName="Table1" ref="A3:H5" totalsRowShown="0" headerRowDxfId="2">
  <autoFilter ref="A3:H5" xr:uid="{886CAD0E-26C9-4AAC-A8B9-A373003C38FF}"/>
  <tableColumns count="8">
    <tableColumn id="1" xr3:uid="{D5BCA98E-B4AE-4528-958F-1B241DAB0779}" name="Sr. No."/>
    <tableColumn id="2" xr3:uid="{AC3C00EE-C28D-4CA6-9AE4-2D79C20970D3}" name="First Name"/>
    <tableColumn id="3" xr3:uid="{588435DC-4DE5-4727-8C61-9AFDA70EA04F}" name="Last Name"/>
    <tableColumn id="4" xr3:uid="{00198BB0-BC3F-4A1C-9CDB-48702BB6024A}" name="Email Address" dataDxfId="1"/>
    <tableColumn id="5" xr3:uid="{96A76DAC-4E21-4EFD-BE22-1C6AA29FF36D}" name="Date of Birth" dataDxfId="0"/>
    <tableColumn id="6" xr3:uid="{F701ABA3-255F-4497-81AB-7510CEC9D2BB}" name="Home State"/>
    <tableColumn id="7" xr3:uid="{7EC71CA2-6F8C-401D-A1E5-1C4536D85ABF}" name="Year of Passing"/>
    <tableColumn id="8" xr3:uid="{3EFA8246-DEB6-472F-8C06-2BD8584C1535}" name="CGPA"/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mailto:abc@gmail.com" TargetMode="External"/><Relationship Id="rId1" Type="http://schemas.openxmlformats.org/officeDocument/2006/relationships/hyperlink" Target="http://www.microsoft.com/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jamie@bright.edu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20"/>
  <sheetViews>
    <sheetView showGridLines="0" zoomScale="90" zoomScaleNormal="90" workbookViewId="0"/>
  </sheetViews>
  <sheetFormatPr defaultRowHeight="15" x14ac:dyDescent="0.25"/>
  <cols>
    <col min="2" max="2" width="24.85546875" customWidth="1"/>
    <col min="3" max="3" width="13.28515625" bestFit="1" customWidth="1"/>
    <col min="6" max="6" width="15.28515625" customWidth="1"/>
    <col min="7" max="7" width="14" bestFit="1" customWidth="1"/>
    <col min="8" max="9" width="14.7109375" bestFit="1" customWidth="1"/>
  </cols>
  <sheetData>
    <row r="1" spans="2:9" ht="18.75" x14ac:dyDescent="0.3">
      <c r="B1" s="1" t="s">
        <v>0</v>
      </c>
    </row>
    <row r="3" spans="2:9" x14ac:dyDescent="0.25">
      <c r="B3" s="2" t="s">
        <v>1</v>
      </c>
      <c r="G3" t="s">
        <v>5</v>
      </c>
    </row>
    <row r="4" spans="2:9" x14ac:dyDescent="0.25">
      <c r="B4" s="5" t="s">
        <v>2</v>
      </c>
      <c r="C4" s="9">
        <v>10</v>
      </c>
      <c r="G4" s="8" t="s">
        <v>6</v>
      </c>
      <c r="H4" s="8" t="s">
        <v>7</v>
      </c>
      <c r="I4" s="8" t="s">
        <v>8</v>
      </c>
    </row>
    <row r="5" spans="2:9" x14ac:dyDescent="0.25">
      <c r="B5" s="4" t="s">
        <v>3</v>
      </c>
      <c r="C5" s="3">
        <v>16</v>
      </c>
      <c r="G5" s="3" t="s">
        <v>9</v>
      </c>
      <c r="H5" s="3" t="s">
        <v>25</v>
      </c>
      <c r="I5" s="3">
        <v>484</v>
      </c>
    </row>
    <row r="6" spans="2:9" x14ac:dyDescent="0.25">
      <c r="B6" s="6" t="s">
        <v>32</v>
      </c>
      <c r="C6" s="7">
        <v>345</v>
      </c>
      <c r="G6" s="3" t="s">
        <v>10</v>
      </c>
      <c r="H6" s="3" t="s">
        <v>25</v>
      </c>
      <c r="I6" s="3">
        <v>297</v>
      </c>
    </row>
    <row r="7" spans="2:9" x14ac:dyDescent="0.25">
      <c r="B7" s="4" t="s">
        <v>4</v>
      </c>
      <c r="C7" s="10">
        <v>4250000</v>
      </c>
      <c r="G7" s="3" t="s">
        <v>11</v>
      </c>
      <c r="H7" s="3" t="s">
        <v>26</v>
      </c>
      <c r="I7" s="3">
        <v>430</v>
      </c>
    </row>
    <row r="8" spans="2:9" x14ac:dyDescent="0.25">
      <c r="G8" s="3" t="s">
        <v>12</v>
      </c>
      <c r="H8" s="3" t="s">
        <v>26</v>
      </c>
      <c r="I8" s="3">
        <v>451</v>
      </c>
    </row>
    <row r="9" spans="2:9" x14ac:dyDescent="0.25">
      <c r="G9" s="3" t="s">
        <v>13</v>
      </c>
      <c r="H9" s="3" t="s">
        <v>26</v>
      </c>
      <c r="I9" s="3">
        <v>327</v>
      </c>
    </row>
    <row r="10" spans="2:9" x14ac:dyDescent="0.25">
      <c r="B10" t="s">
        <v>30</v>
      </c>
      <c r="C10">
        <f>C4*C5*C6</f>
        <v>55200</v>
      </c>
      <c r="G10" s="3" t="s">
        <v>14</v>
      </c>
      <c r="H10" s="3" t="s">
        <v>27</v>
      </c>
      <c r="I10" s="3">
        <v>201</v>
      </c>
    </row>
    <row r="11" spans="2:9" x14ac:dyDescent="0.25">
      <c r="B11" t="s">
        <v>31</v>
      </c>
      <c r="C11">
        <f>C7/C6</f>
        <v>12318.840579710144</v>
      </c>
      <c r="G11" s="3" t="s">
        <v>15</v>
      </c>
      <c r="H11" s="3" t="s">
        <v>27</v>
      </c>
      <c r="I11" s="3">
        <v>477</v>
      </c>
    </row>
    <row r="12" spans="2:9" x14ac:dyDescent="0.25">
      <c r="G12" s="3" t="s">
        <v>16</v>
      </c>
      <c r="H12" s="3" t="s">
        <v>27</v>
      </c>
      <c r="I12" s="3">
        <v>293</v>
      </c>
    </row>
    <row r="13" spans="2:9" x14ac:dyDescent="0.25">
      <c r="G13" s="3" t="s">
        <v>17</v>
      </c>
      <c r="H13" s="3" t="s">
        <v>27</v>
      </c>
      <c r="I13" s="3">
        <v>444</v>
      </c>
    </row>
    <row r="14" spans="2:9" x14ac:dyDescent="0.25">
      <c r="G14" s="3" t="s">
        <v>18</v>
      </c>
      <c r="H14" s="3" t="s">
        <v>27</v>
      </c>
      <c r="I14" s="3">
        <v>230</v>
      </c>
    </row>
    <row r="15" spans="2:9" x14ac:dyDescent="0.25">
      <c r="G15" s="3" t="s">
        <v>19</v>
      </c>
      <c r="H15" s="3" t="s">
        <v>28</v>
      </c>
      <c r="I15" s="3">
        <v>234</v>
      </c>
    </row>
    <row r="16" spans="2:9" x14ac:dyDescent="0.25">
      <c r="G16" s="3" t="s">
        <v>20</v>
      </c>
      <c r="H16" s="3" t="s">
        <v>28</v>
      </c>
      <c r="I16" s="3">
        <v>283</v>
      </c>
    </row>
    <row r="17" spans="7:9" x14ac:dyDescent="0.25">
      <c r="G17" s="3" t="s">
        <v>21</v>
      </c>
      <c r="H17" s="3" t="s">
        <v>29</v>
      </c>
      <c r="I17" s="3">
        <v>239</v>
      </c>
    </row>
    <row r="18" spans="7:9" x14ac:dyDescent="0.25">
      <c r="G18" s="3" t="s">
        <v>22</v>
      </c>
      <c r="H18" s="3" t="s">
        <v>29</v>
      </c>
      <c r="I18" s="3">
        <v>457</v>
      </c>
    </row>
    <row r="19" spans="7:9" x14ac:dyDescent="0.25">
      <c r="G19" s="3" t="s">
        <v>23</v>
      </c>
      <c r="H19" s="3" t="s">
        <v>29</v>
      </c>
      <c r="I19" s="3">
        <v>261</v>
      </c>
    </row>
    <row r="20" spans="7:9" x14ac:dyDescent="0.25">
      <c r="G20" s="3" t="s">
        <v>24</v>
      </c>
      <c r="H20" s="3" t="s">
        <v>29</v>
      </c>
      <c r="I20" s="3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4DE20-2AC7-4244-AA72-40F985968F32}">
  <sheetPr codeName="Sheet3"/>
  <dimension ref="B3:D11"/>
  <sheetViews>
    <sheetView workbookViewId="0">
      <selection activeCell="C13" sqref="C13"/>
    </sheetView>
  </sheetViews>
  <sheetFormatPr defaultRowHeight="15" x14ac:dyDescent="0.25"/>
  <cols>
    <col min="2" max="2" width="26.85546875" bestFit="1" customWidth="1"/>
    <col min="4" max="4" width="13.140625" bestFit="1" customWidth="1"/>
  </cols>
  <sheetData>
    <row r="3" spans="2:4" x14ac:dyDescent="0.25">
      <c r="B3" t="s">
        <v>33</v>
      </c>
      <c r="C3" s="12">
        <f>'NamingCell&amp;Range_1'!C4*Hours_Per_Day*DaysInYear</f>
        <v>55200</v>
      </c>
    </row>
    <row r="5" spans="2:4" x14ac:dyDescent="0.25">
      <c r="B5" t="s">
        <v>34</v>
      </c>
      <c r="C5" s="12">
        <f>'NamingCell&amp;Range_1'!C7/DaysInYear</f>
        <v>12318.840579710144</v>
      </c>
    </row>
    <row r="8" spans="2:4" x14ac:dyDescent="0.25">
      <c r="C8" t="s">
        <v>35</v>
      </c>
      <c r="D8" t="s">
        <v>7</v>
      </c>
    </row>
    <row r="9" spans="2:4" x14ac:dyDescent="0.25">
      <c r="B9" t="s">
        <v>21</v>
      </c>
      <c r="C9" s="11">
        <f>VLOOKUP(B9,Countries,3,FALSE)</f>
        <v>239</v>
      </c>
    </row>
    <row r="10" spans="2:4" x14ac:dyDescent="0.25">
      <c r="B10" t="s">
        <v>18</v>
      </c>
      <c r="C10" s="11">
        <f>VLOOKUP(B10,Countries,3,FALSE)</f>
        <v>230</v>
      </c>
    </row>
    <row r="11" spans="2:4" x14ac:dyDescent="0.25">
      <c r="B11" t="s">
        <v>12</v>
      </c>
      <c r="D11" s="11" t="str">
        <f>VLOOKUP(B11,Countries,2,FALSE)</f>
        <v>Latin America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27D1A-D827-44F2-9954-1B39D0249F95}">
  <sheetPr codeName="Sheet4"/>
  <dimension ref="A2:K27"/>
  <sheetViews>
    <sheetView zoomScale="90" zoomScaleNormal="90" workbookViewId="0">
      <selection activeCell="K9" sqref="K9"/>
    </sheetView>
  </sheetViews>
  <sheetFormatPr defaultRowHeight="15" x14ac:dyDescent="0.25"/>
  <cols>
    <col min="1" max="1" width="5.5703125" bestFit="1" customWidth="1"/>
    <col min="2" max="2" width="21.7109375" bestFit="1" customWidth="1"/>
    <col min="3" max="3" width="16" bestFit="1" customWidth="1"/>
    <col min="4" max="4" width="16.85546875" bestFit="1" customWidth="1"/>
    <col min="5" max="5" width="14.28515625" bestFit="1" customWidth="1"/>
    <col min="6" max="6" width="17.42578125" bestFit="1" customWidth="1"/>
    <col min="7" max="7" width="16" bestFit="1" customWidth="1"/>
    <col min="9" max="9" width="10.28515625" bestFit="1" customWidth="1"/>
    <col min="10" max="10" width="10.5703125" bestFit="1" customWidth="1"/>
    <col min="11" max="11" width="13.28515625" bestFit="1" customWidth="1"/>
  </cols>
  <sheetData>
    <row r="2" spans="1:11" x14ac:dyDescent="0.25">
      <c r="A2" s="13" t="s">
        <v>36</v>
      </c>
      <c r="B2" s="13" t="s">
        <v>37</v>
      </c>
      <c r="C2" s="13" t="s">
        <v>38</v>
      </c>
      <c r="D2" s="13" t="s">
        <v>39</v>
      </c>
      <c r="E2" s="13" t="s">
        <v>40</v>
      </c>
      <c r="F2" s="13" t="s">
        <v>41</v>
      </c>
      <c r="G2" s="13" t="s">
        <v>42</v>
      </c>
      <c r="I2" s="18" t="s">
        <v>75</v>
      </c>
      <c r="J2" s="18" t="s">
        <v>76</v>
      </c>
      <c r="K2" s="18" t="s">
        <v>77</v>
      </c>
    </row>
    <row r="3" spans="1:11" x14ac:dyDescent="0.25">
      <c r="A3" s="14">
        <v>1</v>
      </c>
      <c r="B3" s="15" t="s">
        <v>43</v>
      </c>
      <c r="C3" s="15" t="s">
        <v>44</v>
      </c>
      <c r="D3" s="15" t="s">
        <v>45</v>
      </c>
      <c r="E3" s="16">
        <v>35977</v>
      </c>
      <c r="F3" s="17">
        <v>10500</v>
      </c>
      <c r="G3" s="17">
        <f>F3*12</f>
        <v>126000</v>
      </c>
      <c r="I3" t="s">
        <v>78</v>
      </c>
      <c r="J3" t="s">
        <v>79</v>
      </c>
    </row>
    <row r="4" spans="1:11" x14ac:dyDescent="0.25">
      <c r="A4" s="14">
        <v>2</v>
      </c>
      <c r="B4" s="15" t="s">
        <v>46</v>
      </c>
      <c r="C4" s="15" t="s">
        <v>47</v>
      </c>
      <c r="D4" s="15" t="s">
        <v>45</v>
      </c>
      <c r="E4" s="16">
        <v>36069</v>
      </c>
      <c r="F4" s="17">
        <v>9800</v>
      </c>
      <c r="G4" s="17">
        <f t="shared" ref="G4:G27" si="0">F4*12</f>
        <v>117600</v>
      </c>
      <c r="I4" t="s">
        <v>80</v>
      </c>
      <c r="J4" t="s">
        <v>81</v>
      </c>
      <c r="K4" t="s">
        <v>82</v>
      </c>
    </row>
    <row r="5" spans="1:11" x14ac:dyDescent="0.25">
      <c r="A5" s="14">
        <v>3</v>
      </c>
      <c r="B5" s="15" t="s">
        <v>48</v>
      </c>
      <c r="C5" s="15" t="s">
        <v>49</v>
      </c>
      <c r="D5" s="15" t="s">
        <v>45</v>
      </c>
      <c r="E5" s="16">
        <v>36628</v>
      </c>
      <c r="F5" s="17">
        <v>10200</v>
      </c>
      <c r="G5" s="17">
        <f t="shared" si="0"/>
        <v>122400</v>
      </c>
      <c r="I5" t="s">
        <v>83</v>
      </c>
      <c r="J5" t="s">
        <v>84</v>
      </c>
    </row>
    <row r="6" spans="1:11" x14ac:dyDescent="0.25">
      <c r="A6" s="14">
        <v>4</v>
      </c>
      <c r="B6" s="15" t="s">
        <v>50</v>
      </c>
      <c r="C6" s="15" t="s">
        <v>44</v>
      </c>
      <c r="D6" s="15" t="s">
        <v>45</v>
      </c>
      <c r="E6" s="16">
        <v>36937</v>
      </c>
      <c r="F6" s="17">
        <v>8500</v>
      </c>
      <c r="G6" s="17">
        <f t="shared" si="0"/>
        <v>102000</v>
      </c>
      <c r="I6" t="s">
        <v>85</v>
      </c>
      <c r="J6" t="s">
        <v>86</v>
      </c>
      <c r="K6" t="s">
        <v>87</v>
      </c>
    </row>
    <row r="7" spans="1:11" x14ac:dyDescent="0.25">
      <c r="A7" s="14">
        <v>5</v>
      </c>
      <c r="B7" s="15" t="s">
        <v>51</v>
      </c>
      <c r="C7" s="15" t="s">
        <v>44</v>
      </c>
      <c r="D7" s="15" t="s">
        <v>52</v>
      </c>
      <c r="E7" s="16">
        <v>36992</v>
      </c>
      <c r="F7" s="17">
        <v>7100</v>
      </c>
      <c r="G7" s="17">
        <f t="shared" si="0"/>
        <v>85200</v>
      </c>
      <c r="I7" t="s">
        <v>88</v>
      </c>
      <c r="J7" t="s">
        <v>89</v>
      </c>
    </row>
    <row r="8" spans="1:11" x14ac:dyDescent="0.25">
      <c r="A8" s="14">
        <v>6</v>
      </c>
      <c r="B8" s="15" t="s">
        <v>53</v>
      </c>
      <c r="C8" s="15" t="s">
        <v>49</v>
      </c>
      <c r="D8" s="15" t="s">
        <v>45</v>
      </c>
      <c r="E8" s="16">
        <v>37323</v>
      </c>
      <c r="F8" s="17">
        <v>8700</v>
      </c>
      <c r="G8" s="17">
        <f t="shared" si="0"/>
        <v>104400</v>
      </c>
      <c r="I8" t="s">
        <v>90</v>
      </c>
      <c r="J8" t="s">
        <v>91</v>
      </c>
    </row>
    <row r="9" spans="1:11" x14ac:dyDescent="0.25">
      <c r="A9" s="14">
        <v>7</v>
      </c>
      <c r="B9" s="15" t="s">
        <v>54</v>
      </c>
      <c r="C9" s="15" t="s">
        <v>55</v>
      </c>
      <c r="D9" s="15" t="s">
        <v>45</v>
      </c>
      <c r="E9" s="16">
        <v>38013</v>
      </c>
      <c r="F9" s="17">
        <v>6600</v>
      </c>
      <c r="G9" s="17">
        <f t="shared" si="0"/>
        <v>79200</v>
      </c>
      <c r="I9" t="s">
        <v>92</v>
      </c>
      <c r="J9" t="s">
        <v>93</v>
      </c>
      <c r="K9" t="s">
        <v>94</v>
      </c>
    </row>
    <row r="10" spans="1:11" x14ac:dyDescent="0.25">
      <c r="A10" s="14">
        <v>8</v>
      </c>
      <c r="B10" s="15" t="s">
        <v>56</v>
      </c>
      <c r="C10" s="15" t="s">
        <v>49</v>
      </c>
      <c r="D10" s="15" t="s">
        <v>45</v>
      </c>
      <c r="E10" s="16">
        <v>39451</v>
      </c>
      <c r="F10" s="17">
        <v>6600</v>
      </c>
      <c r="G10" s="17">
        <f t="shared" si="0"/>
        <v>79200</v>
      </c>
      <c r="I10" t="s">
        <v>95</v>
      </c>
      <c r="J10" t="s">
        <v>96</v>
      </c>
    </row>
    <row r="11" spans="1:11" x14ac:dyDescent="0.25">
      <c r="A11" s="14">
        <v>9</v>
      </c>
      <c r="B11" s="15" t="s">
        <v>57</v>
      </c>
      <c r="C11" s="15" t="s">
        <v>55</v>
      </c>
      <c r="D11" s="15" t="s">
        <v>52</v>
      </c>
      <c r="E11" s="16">
        <v>39549</v>
      </c>
      <c r="F11" s="17">
        <v>6400</v>
      </c>
      <c r="G11" s="17">
        <f t="shared" si="0"/>
        <v>76800</v>
      </c>
      <c r="I11" t="s">
        <v>97</v>
      </c>
      <c r="J11" t="s">
        <v>98</v>
      </c>
      <c r="K11" t="s">
        <v>99</v>
      </c>
    </row>
    <row r="12" spans="1:11" x14ac:dyDescent="0.25">
      <c r="A12" s="14">
        <v>10</v>
      </c>
      <c r="B12" s="15" t="s">
        <v>58</v>
      </c>
      <c r="C12" s="15" t="s">
        <v>49</v>
      </c>
      <c r="D12" s="15" t="s">
        <v>45</v>
      </c>
      <c r="E12" s="16">
        <v>39699</v>
      </c>
      <c r="F12" s="17">
        <v>7300</v>
      </c>
      <c r="G12" s="17">
        <f t="shared" si="0"/>
        <v>87600</v>
      </c>
      <c r="I12" t="s">
        <v>100</v>
      </c>
      <c r="J12" t="s">
        <v>101</v>
      </c>
      <c r="K12" t="s">
        <v>102</v>
      </c>
    </row>
    <row r="13" spans="1:11" x14ac:dyDescent="0.25">
      <c r="A13" s="14">
        <v>11</v>
      </c>
      <c r="B13" s="15" t="s">
        <v>59</v>
      </c>
      <c r="C13" s="15" t="s">
        <v>55</v>
      </c>
      <c r="D13" s="15" t="s">
        <v>52</v>
      </c>
      <c r="E13" s="16">
        <v>39934</v>
      </c>
      <c r="F13" s="17">
        <v>5600</v>
      </c>
      <c r="G13" s="17">
        <f t="shared" si="0"/>
        <v>67200</v>
      </c>
      <c r="I13" t="s">
        <v>103</v>
      </c>
      <c r="J13" t="s">
        <v>104</v>
      </c>
    </row>
    <row r="14" spans="1:11" x14ac:dyDescent="0.25">
      <c r="A14" s="14">
        <v>12</v>
      </c>
      <c r="B14" s="15" t="s">
        <v>60</v>
      </c>
      <c r="C14" s="15" t="s">
        <v>44</v>
      </c>
      <c r="D14" s="15" t="s">
        <v>45</v>
      </c>
      <c r="E14" s="16">
        <v>40171</v>
      </c>
      <c r="F14" s="17">
        <v>6500</v>
      </c>
      <c r="G14" s="17">
        <f t="shared" si="0"/>
        <v>78000</v>
      </c>
      <c r="I14" t="s">
        <v>105</v>
      </c>
      <c r="J14" t="s">
        <v>106</v>
      </c>
    </row>
    <row r="15" spans="1:11" x14ac:dyDescent="0.25">
      <c r="A15" s="14">
        <v>13</v>
      </c>
      <c r="B15" s="15" t="s">
        <v>61</v>
      </c>
      <c r="C15" s="15" t="s">
        <v>44</v>
      </c>
      <c r="D15" s="15" t="s">
        <v>52</v>
      </c>
      <c r="E15" s="16">
        <v>40203</v>
      </c>
      <c r="F15" s="17">
        <v>5800</v>
      </c>
      <c r="G15" s="17">
        <f t="shared" si="0"/>
        <v>69600</v>
      </c>
      <c r="I15" t="s">
        <v>107</v>
      </c>
      <c r="J15" t="s">
        <v>108</v>
      </c>
      <c r="K15" t="s">
        <v>109</v>
      </c>
    </row>
    <row r="16" spans="1:11" x14ac:dyDescent="0.25">
      <c r="A16" s="14">
        <v>14</v>
      </c>
      <c r="B16" s="15" t="s">
        <v>62</v>
      </c>
      <c r="C16" s="15" t="s">
        <v>47</v>
      </c>
      <c r="D16" s="15" t="s">
        <v>45</v>
      </c>
      <c r="E16" s="16">
        <v>40341</v>
      </c>
      <c r="F16" s="17">
        <v>5500</v>
      </c>
      <c r="G16" s="17">
        <f t="shared" si="0"/>
        <v>66000</v>
      </c>
      <c r="I16" t="s">
        <v>110</v>
      </c>
      <c r="J16" t="s">
        <v>111</v>
      </c>
    </row>
    <row r="17" spans="1:11" x14ac:dyDescent="0.25">
      <c r="A17" s="14">
        <v>15</v>
      </c>
      <c r="B17" s="15" t="s">
        <v>63</v>
      </c>
      <c r="C17" s="15" t="s">
        <v>47</v>
      </c>
      <c r="D17" s="15" t="s">
        <v>52</v>
      </c>
      <c r="E17" s="16">
        <v>40377</v>
      </c>
      <c r="F17" s="17">
        <v>6200</v>
      </c>
      <c r="G17" s="17">
        <f t="shared" si="0"/>
        <v>74400</v>
      </c>
      <c r="I17" t="s">
        <v>112</v>
      </c>
      <c r="J17" t="s">
        <v>113</v>
      </c>
    </row>
    <row r="18" spans="1:11" x14ac:dyDescent="0.25">
      <c r="A18" s="14">
        <v>16</v>
      </c>
      <c r="B18" s="15" t="s">
        <v>64</v>
      </c>
      <c r="C18" s="15" t="s">
        <v>65</v>
      </c>
      <c r="D18" s="15" t="s">
        <v>45</v>
      </c>
      <c r="E18" s="16">
        <v>40474</v>
      </c>
      <c r="F18" s="17">
        <v>7300</v>
      </c>
      <c r="G18" s="17">
        <f t="shared" si="0"/>
        <v>87600</v>
      </c>
      <c r="I18" t="s">
        <v>114</v>
      </c>
      <c r="J18" t="s">
        <v>115</v>
      </c>
    </row>
    <row r="19" spans="1:11" x14ac:dyDescent="0.25">
      <c r="A19" s="14">
        <v>17</v>
      </c>
      <c r="B19" s="15" t="s">
        <v>66</v>
      </c>
      <c r="C19" s="15" t="s">
        <v>44</v>
      </c>
      <c r="D19" s="15" t="s">
        <v>45</v>
      </c>
      <c r="E19" s="16">
        <v>41027</v>
      </c>
      <c r="F19" s="17">
        <v>6700</v>
      </c>
      <c r="G19" s="17">
        <f t="shared" si="0"/>
        <v>80400</v>
      </c>
      <c r="I19" t="s">
        <v>116</v>
      </c>
      <c r="J19" t="s">
        <v>117</v>
      </c>
      <c r="K19" t="s">
        <v>118</v>
      </c>
    </row>
    <row r="20" spans="1:11" x14ac:dyDescent="0.25">
      <c r="A20" s="14">
        <v>18</v>
      </c>
      <c r="B20" s="15" t="s">
        <v>67</v>
      </c>
      <c r="C20" s="15" t="s">
        <v>47</v>
      </c>
      <c r="D20" s="15" t="s">
        <v>52</v>
      </c>
      <c r="E20" s="16">
        <v>41058</v>
      </c>
      <c r="F20" s="17">
        <v>5200</v>
      </c>
      <c r="G20" s="17">
        <f t="shared" si="0"/>
        <v>62400</v>
      </c>
      <c r="I20" t="s">
        <v>119</v>
      </c>
      <c r="J20" t="s">
        <v>120</v>
      </c>
      <c r="K20" t="s">
        <v>121</v>
      </c>
    </row>
    <row r="21" spans="1:11" x14ac:dyDescent="0.25">
      <c r="A21" s="14">
        <v>19</v>
      </c>
      <c r="B21" s="15" t="s">
        <v>68</v>
      </c>
      <c r="C21" s="15" t="s">
        <v>44</v>
      </c>
      <c r="D21" s="15" t="s">
        <v>45</v>
      </c>
      <c r="E21" s="16">
        <v>41071</v>
      </c>
      <c r="F21" s="17">
        <v>5800</v>
      </c>
      <c r="G21" s="17">
        <f t="shared" si="0"/>
        <v>69600</v>
      </c>
      <c r="I21" t="s">
        <v>122</v>
      </c>
      <c r="J21" t="s">
        <v>123</v>
      </c>
    </row>
    <row r="22" spans="1:11" x14ac:dyDescent="0.25">
      <c r="A22" s="14">
        <v>20</v>
      </c>
      <c r="B22" s="15" t="s">
        <v>69</v>
      </c>
      <c r="C22" s="15" t="s">
        <v>65</v>
      </c>
      <c r="D22" s="15" t="s">
        <v>45</v>
      </c>
      <c r="E22" s="16">
        <v>41460</v>
      </c>
      <c r="F22" s="17">
        <v>5900</v>
      </c>
      <c r="G22" s="17">
        <f t="shared" si="0"/>
        <v>70800</v>
      </c>
      <c r="I22" t="s">
        <v>124</v>
      </c>
      <c r="J22" t="s">
        <v>125</v>
      </c>
    </row>
    <row r="23" spans="1:11" x14ac:dyDescent="0.25">
      <c r="A23" s="14">
        <v>21</v>
      </c>
      <c r="B23" s="15" t="s">
        <v>70</v>
      </c>
      <c r="C23" s="15" t="s">
        <v>44</v>
      </c>
      <c r="D23" s="15" t="s">
        <v>52</v>
      </c>
      <c r="E23" s="16">
        <v>41734</v>
      </c>
      <c r="F23" s="17">
        <v>5400</v>
      </c>
      <c r="G23" s="17">
        <f t="shared" si="0"/>
        <v>64800</v>
      </c>
      <c r="I23" t="s">
        <v>126</v>
      </c>
      <c r="J23" t="s">
        <v>127</v>
      </c>
    </row>
    <row r="24" spans="1:11" x14ac:dyDescent="0.25">
      <c r="A24" s="14">
        <v>22</v>
      </c>
      <c r="B24" s="15" t="s">
        <v>71</v>
      </c>
      <c r="C24" s="15" t="s">
        <v>55</v>
      </c>
      <c r="D24" s="15" t="s">
        <v>45</v>
      </c>
      <c r="E24" s="16">
        <v>41853</v>
      </c>
      <c r="F24" s="17">
        <v>5600</v>
      </c>
      <c r="G24" s="17">
        <f t="shared" si="0"/>
        <v>67200</v>
      </c>
      <c r="I24" t="s">
        <v>128</v>
      </c>
      <c r="J24" t="s">
        <v>129</v>
      </c>
      <c r="K24" t="s">
        <v>130</v>
      </c>
    </row>
    <row r="25" spans="1:11" x14ac:dyDescent="0.25">
      <c r="A25" s="14">
        <v>23</v>
      </c>
      <c r="B25" s="15" t="s">
        <v>72</v>
      </c>
      <c r="C25" s="15" t="s">
        <v>65</v>
      </c>
      <c r="D25" s="15" t="s">
        <v>45</v>
      </c>
      <c r="E25" s="16">
        <v>43142</v>
      </c>
      <c r="F25" s="17">
        <v>6400</v>
      </c>
      <c r="G25" s="17">
        <f t="shared" si="0"/>
        <v>76800</v>
      </c>
      <c r="I25" t="s">
        <v>131</v>
      </c>
      <c r="J25" t="s">
        <v>132</v>
      </c>
      <c r="K25" t="s">
        <v>133</v>
      </c>
    </row>
    <row r="26" spans="1:11" x14ac:dyDescent="0.25">
      <c r="A26" s="14">
        <v>24</v>
      </c>
      <c r="B26" s="15" t="s">
        <v>73</v>
      </c>
      <c r="C26" s="15" t="s">
        <v>55</v>
      </c>
      <c r="D26" s="15" t="s">
        <v>52</v>
      </c>
      <c r="E26" s="16">
        <v>43364</v>
      </c>
      <c r="F26" s="17">
        <v>5600</v>
      </c>
      <c r="G26" s="17">
        <f t="shared" si="0"/>
        <v>67200</v>
      </c>
      <c r="I26" t="s">
        <v>134</v>
      </c>
      <c r="J26" t="s">
        <v>135</v>
      </c>
    </row>
    <row r="27" spans="1:11" x14ac:dyDescent="0.25">
      <c r="A27" s="14">
        <v>25</v>
      </c>
      <c r="B27" s="15" t="s">
        <v>74</v>
      </c>
      <c r="C27" s="15" t="s">
        <v>55</v>
      </c>
      <c r="D27" s="15" t="s">
        <v>52</v>
      </c>
      <c r="E27" s="16">
        <v>44104</v>
      </c>
      <c r="F27" s="17">
        <v>5600</v>
      </c>
      <c r="G27" s="17">
        <f t="shared" si="0"/>
        <v>67200</v>
      </c>
      <c r="I27" t="s">
        <v>136</v>
      </c>
      <c r="J27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62EA2-B336-4E24-A4AD-9E9511224E85}">
  <sheetPr codeName="Sheet5"/>
  <dimension ref="A1:E25"/>
  <sheetViews>
    <sheetView zoomScale="90" zoomScaleNormal="90" workbookViewId="0">
      <selection activeCell="A3" sqref="A3"/>
    </sheetView>
  </sheetViews>
  <sheetFormatPr defaultRowHeight="15" outlineLevelRow="2" x14ac:dyDescent="0.25"/>
  <cols>
    <col min="2" max="2" width="26.42578125" bestFit="1" customWidth="1"/>
    <col min="4" max="4" width="16.85546875" bestFit="1" customWidth="1"/>
  </cols>
  <sheetData>
    <row r="1" spans="1:5" x14ac:dyDescent="0.25">
      <c r="A1" s="19" t="s">
        <v>138</v>
      </c>
    </row>
    <row r="2" spans="1:5" x14ac:dyDescent="0.25">
      <c r="A2" s="19" t="s">
        <v>139</v>
      </c>
    </row>
    <row r="4" spans="1:5" x14ac:dyDescent="0.25">
      <c r="A4" s="20" t="s">
        <v>7</v>
      </c>
      <c r="B4" s="20" t="s">
        <v>6</v>
      </c>
      <c r="C4" s="20" t="s">
        <v>140</v>
      </c>
      <c r="D4" s="20" t="s">
        <v>141</v>
      </c>
      <c r="E4" s="22"/>
    </row>
    <row r="5" spans="1:5" outlineLevel="2" x14ac:dyDescent="0.25">
      <c r="A5" t="s">
        <v>142</v>
      </c>
      <c r="B5" t="s">
        <v>144</v>
      </c>
      <c r="C5" s="21">
        <v>43709</v>
      </c>
      <c r="D5">
        <v>6.92</v>
      </c>
    </row>
    <row r="6" spans="1:5" outlineLevel="1" x14ac:dyDescent="0.25">
      <c r="A6" s="2" t="s">
        <v>155</v>
      </c>
      <c r="C6" s="21"/>
      <c r="D6">
        <f>SUBTOTAL(9,D5:D5)</f>
        <v>6.92</v>
      </c>
    </row>
    <row r="7" spans="1:5" outlineLevel="2" x14ac:dyDescent="0.25">
      <c r="A7" t="s">
        <v>29</v>
      </c>
      <c r="B7" t="s">
        <v>151</v>
      </c>
      <c r="C7" s="21">
        <v>43709</v>
      </c>
      <c r="D7">
        <v>168.64</v>
      </c>
    </row>
    <row r="8" spans="1:5" outlineLevel="2" x14ac:dyDescent="0.25">
      <c r="A8" t="s">
        <v>29</v>
      </c>
      <c r="B8" t="s">
        <v>22</v>
      </c>
      <c r="C8" s="21">
        <v>43709</v>
      </c>
      <c r="D8">
        <v>38.15</v>
      </c>
    </row>
    <row r="9" spans="1:5" outlineLevel="2" x14ac:dyDescent="0.25">
      <c r="A9" t="s">
        <v>29</v>
      </c>
      <c r="B9" t="s">
        <v>145</v>
      </c>
      <c r="C9" s="21">
        <v>43709</v>
      </c>
      <c r="D9">
        <v>14.5</v>
      </c>
    </row>
    <row r="10" spans="1:5" outlineLevel="2" x14ac:dyDescent="0.25">
      <c r="A10" t="s">
        <v>29</v>
      </c>
      <c r="B10" t="s">
        <v>23</v>
      </c>
      <c r="C10" s="21">
        <v>43709</v>
      </c>
      <c r="D10">
        <v>60.47</v>
      </c>
    </row>
    <row r="11" spans="1:5" outlineLevel="2" x14ac:dyDescent="0.25">
      <c r="A11" t="s">
        <v>29</v>
      </c>
      <c r="B11" t="s">
        <v>146</v>
      </c>
      <c r="C11" s="21">
        <v>43709</v>
      </c>
      <c r="D11">
        <v>40.15</v>
      </c>
    </row>
    <row r="12" spans="1:5" outlineLevel="1" x14ac:dyDescent="0.25">
      <c r="A12" s="2" t="s">
        <v>156</v>
      </c>
      <c r="C12" s="21"/>
      <c r="D12">
        <f>SUBTOTAL(9,D7:D11)</f>
        <v>321.90999999999997</v>
      </c>
    </row>
    <row r="13" spans="1:5" outlineLevel="2" x14ac:dyDescent="0.25">
      <c r="A13" t="s">
        <v>143</v>
      </c>
      <c r="B13" t="s">
        <v>147</v>
      </c>
      <c r="C13" s="21">
        <v>43709</v>
      </c>
      <c r="D13">
        <v>1.37</v>
      </c>
    </row>
    <row r="14" spans="1:5" outlineLevel="1" x14ac:dyDescent="0.25">
      <c r="A14" s="2" t="s">
        <v>157</v>
      </c>
      <c r="C14" s="21"/>
      <c r="D14">
        <f>SUBTOTAL(9,D13:D13)</f>
        <v>1.37</v>
      </c>
    </row>
    <row r="15" spans="1:5" outlineLevel="2" x14ac:dyDescent="0.25">
      <c r="A15" t="s">
        <v>27</v>
      </c>
      <c r="B15" t="s">
        <v>148</v>
      </c>
      <c r="C15" s="21">
        <v>43709</v>
      </c>
      <c r="D15">
        <v>15.06</v>
      </c>
    </row>
    <row r="16" spans="1:5" outlineLevel="2" x14ac:dyDescent="0.25">
      <c r="A16" t="s">
        <v>27</v>
      </c>
      <c r="B16" t="s">
        <v>149</v>
      </c>
      <c r="C16" s="21">
        <v>43709</v>
      </c>
      <c r="D16">
        <v>34.79</v>
      </c>
    </row>
    <row r="17" spans="1:4" outlineLevel="2" x14ac:dyDescent="0.25">
      <c r="A17" t="s">
        <v>27</v>
      </c>
      <c r="B17" t="s">
        <v>150</v>
      </c>
      <c r="C17" s="21">
        <v>43709</v>
      </c>
      <c r="D17">
        <v>14.83</v>
      </c>
    </row>
    <row r="18" spans="1:4" outlineLevel="2" x14ac:dyDescent="0.25">
      <c r="A18" t="s">
        <v>27</v>
      </c>
      <c r="B18" t="s">
        <v>18</v>
      </c>
      <c r="C18" s="21">
        <v>43709</v>
      </c>
      <c r="D18">
        <v>7.99</v>
      </c>
    </row>
    <row r="19" spans="1:4" outlineLevel="2" x14ac:dyDescent="0.25">
      <c r="A19" t="s">
        <v>27</v>
      </c>
      <c r="B19" t="s">
        <v>152</v>
      </c>
      <c r="C19" s="21">
        <v>43709</v>
      </c>
      <c r="D19">
        <v>1.48</v>
      </c>
    </row>
    <row r="20" spans="1:4" outlineLevel="2" x14ac:dyDescent="0.25">
      <c r="A20" t="s">
        <v>27</v>
      </c>
      <c r="B20" t="s">
        <v>153</v>
      </c>
      <c r="C20" s="21">
        <v>43709</v>
      </c>
      <c r="D20">
        <v>6.05</v>
      </c>
    </row>
    <row r="21" spans="1:4" outlineLevel="2" x14ac:dyDescent="0.25">
      <c r="A21" t="s">
        <v>27</v>
      </c>
      <c r="B21" t="s">
        <v>14</v>
      </c>
      <c r="C21" s="21">
        <v>43709</v>
      </c>
      <c r="D21">
        <v>53.34</v>
      </c>
    </row>
    <row r="22" spans="1:4" outlineLevel="2" x14ac:dyDescent="0.25">
      <c r="A22" t="s">
        <v>27</v>
      </c>
      <c r="B22" t="s">
        <v>16</v>
      </c>
      <c r="C22" s="21">
        <v>43709</v>
      </c>
      <c r="D22">
        <v>101.2</v>
      </c>
    </row>
    <row r="23" spans="1:4" outlineLevel="2" x14ac:dyDescent="0.25">
      <c r="A23" t="s">
        <v>27</v>
      </c>
      <c r="B23" t="s">
        <v>154</v>
      </c>
      <c r="C23" s="21">
        <v>43709</v>
      </c>
      <c r="D23">
        <v>5.17</v>
      </c>
    </row>
    <row r="24" spans="1:4" outlineLevel="1" x14ac:dyDescent="0.25">
      <c r="A24" s="2" t="s">
        <v>158</v>
      </c>
      <c r="C24" s="21"/>
      <c r="D24">
        <f>SUBTOTAL(9,D15:D23)</f>
        <v>239.91</v>
      </c>
    </row>
    <row r="25" spans="1:4" x14ac:dyDescent="0.25">
      <c r="A25" s="2" t="s">
        <v>159</v>
      </c>
      <c r="C25" s="21"/>
      <c r="D25">
        <f>SUBTOTAL(9,D5:D23)</f>
        <v>570.11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FD53-AC08-48F7-B82C-B74B216A7AFE}">
  <sheetPr codeName="Sheet6"/>
  <dimension ref="B2:H6"/>
  <sheetViews>
    <sheetView workbookViewId="0">
      <selection activeCell="E8" sqref="E8"/>
    </sheetView>
  </sheetViews>
  <sheetFormatPr defaultRowHeight="15" x14ac:dyDescent="0.25"/>
  <sheetData>
    <row r="2" spans="2:8" x14ac:dyDescent="0.25">
      <c r="B2" s="2" t="s">
        <v>162</v>
      </c>
      <c r="C2" s="2"/>
    </row>
    <row r="3" spans="2:8" x14ac:dyDescent="0.25">
      <c r="B3">
        <v>1</v>
      </c>
      <c r="C3" s="23" t="s">
        <v>165</v>
      </c>
      <c r="H3" s="23" t="s">
        <v>161</v>
      </c>
    </row>
    <row r="4" spans="2:8" x14ac:dyDescent="0.25">
      <c r="B4">
        <v>2</v>
      </c>
      <c r="C4" s="23" t="s">
        <v>166</v>
      </c>
    </row>
    <row r="5" spans="2:8" x14ac:dyDescent="0.25">
      <c r="B5">
        <v>3</v>
      </c>
      <c r="C5" s="23" t="s">
        <v>163</v>
      </c>
    </row>
    <row r="6" spans="2:8" x14ac:dyDescent="0.25">
      <c r="B6">
        <v>4</v>
      </c>
      <c r="C6" s="23" t="s">
        <v>164</v>
      </c>
      <c r="H6" s="23" t="s">
        <v>160</v>
      </c>
    </row>
  </sheetData>
  <hyperlinks>
    <hyperlink ref="H3" r:id="rId1" xr:uid="{9AD2E8E6-8D87-49C4-B26A-8D4D93D82103}"/>
    <hyperlink ref="H6" r:id="rId2" xr:uid="{D14550DD-6451-48CD-8830-D27D57349DE6}"/>
    <hyperlink ref="C3" location="'NamingCell&amp;Range_1'!A1" display="Naming Cell &amp; Range first sheet" xr:uid="{1BAFF14A-95D8-48E2-8974-E749D51548FA}"/>
    <hyperlink ref="C4" location="'NamingCell&amp;Range_2'!A1" display="Naming Cell &amp; Range second sheet" xr:uid="{16B673C8-CDEC-4C60-A5D1-14D5873462D8}"/>
    <hyperlink ref="C5" location="TextToColumns!A1" display="Text To Columns" xr:uid="{8D3F6910-6BBC-4895-B80B-620B27B55DA9}"/>
    <hyperlink ref="C6" location="'GroupingTabs&amp;Subtotal'!A1" display="Grouping Tabs and Subtotal" xr:uid="{90926257-0EBD-4DF5-B793-40C099E1DDB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78C7-CD19-4EFF-A256-41A717E23F74}">
  <sheetPr codeName="Sheet7"/>
  <dimension ref="A1:H5"/>
  <sheetViews>
    <sheetView zoomScale="90" zoomScaleNormal="90" workbookViewId="0">
      <selection activeCell="E11" sqref="E11"/>
    </sheetView>
  </sheetViews>
  <sheetFormatPr defaultRowHeight="15" x14ac:dyDescent="0.25"/>
  <cols>
    <col min="2" max="2" width="10.5703125" bestFit="1" customWidth="1"/>
    <col min="3" max="3" width="16.140625" bestFit="1" customWidth="1"/>
    <col min="4" max="4" width="16.5703125" customWidth="1"/>
    <col min="5" max="5" width="12.140625" bestFit="1" customWidth="1"/>
    <col min="6" max="6" width="11.28515625" bestFit="1" customWidth="1"/>
    <col min="7" max="7" width="14.28515625" bestFit="1" customWidth="1"/>
  </cols>
  <sheetData>
    <row r="1" spans="1:8" ht="18.75" x14ac:dyDescent="0.3">
      <c r="D1" s="24" t="s">
        <v>167</v>
      </c>
    </row>
    <row r="3" spans="1:8" x14ac:dyDescent="0.25">
      <c r="A3" s="2" t="s">
        <v>168</v>
      </c>
      <c r="B3" s="2" t="s">
        <v>76</v>
      </c>
      <c r="C3" s="2" t="s">
        <v>75</v>
      </c>
      <c r="D3" s="2" t="s">
        <v>169</v>
      </c>
      <c r="E3" s="2" t="s">
        <v>170</v>
      </c>
      <c r="F3" s="2" t="s">
        <v>171</v>
      </c>
      <c r="G3" s="2" t="s">
        <v>172</v>
      </c>
      <c r="H3" s="2" t="s">
        <v>173</v>
      </c>
    </row>
    <row r="4" spans="1:8" x14ac:dyDescent="0.25">
      <c r="A4">
        <v>1</v>
      </c>
      <c r="B4" t="s">
        <v>117</v>
      </c>
      <c r="C4" t="s">
        <v>174</v>
      </c>
      <c r="E4" s="26">
        <v>36526</v>
      </c>
      <c r="F4" t="s">
        <v>175</v>
      </c>
      <c r="G4">
        <v>2023</v>
      </c>
      <c r="H4">
        <v>6.72</v>
      </c>
    </row>
    <row r="5" spans="1:8" x14ac:dyDescent="0.25">
      <c r="E5" s="25"/>
    </row>
  </sheetData>
  <dataValidations count="5">
    <dataValidation type="textLength" showInputMessage="1" showErrorMessage="1" error="Please enter valid Name" prompt="Enter minimum of 3 characters, but not more than 15 characters." sqref="B4:C4" xr:uid="{A233A8E4-1AD7-479C-9F87-08206B30AA5B}">
      <formula1>3</formula1>
      <formula2>15</formula2>
    </dataValidation>
    <dataValidation type="date" allowBlank="1" showInputMessage="1" showErrorMessage="1" sqref="E4" xr:uid="{6DD3A63E-311C-4A6A-8923-C6B675EB476C}">
      <formula1>14611</formula1>
      <formula2>EDATE(TODAY(),-15*12)</formula2>
    </dataValidation>
    <dataValidation type="list" allowBlank="1" showInputMessage="1" showErrorMessage="1" sqref="F4" xr:uid="{C971B475-7FCD-4EB3-9BB6-579179D36016}">
      <formula1>"Alaska,Michigan,Ohio,Iowa,Texas"</formula1>
    </dataValidation>
    <dataValidation type="whole" allowBlank="1" showInputMessage="1" showErrorMessage="1" sqref="G4" xr:uid="{1FAACF8F-7258-4A7B-92F2-465F9DA8D4EB}">
      <formula1>2003</formula1>
      <formula2>YEAR(TODAY())</formula2>
    </dataValidation>
    <dataValidation type="decimal" allowBlank="1" showInputMessage="1" showErrorMessage="1" sqref="H4" xr:uid="{1CC3A75F-FA3C-417E-BEC6-7907E370405F}">
      <formula1>0</formula1>
      <formula2>9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3C88-B317-4B8C-8E89-EF468E812131}">
  <sheetPr codeName="Sheet8"/>
  <dimension ref="A1:H5"/>
  <sheetViews>
    <sheetView zoomScale="90" zoomScaleNormal="90" workbookViewId="0">
      <selection activeCell="D15" sqref="D15"/>
    </sheetView>
  </sheetViews>
  <sheetFormatPr defaultRowHeight="15" x14ac:dyDescent="0.25"/>
  <cols>
    <col min="2" max="2" width="12.7109375" customWidth="1"/>
    <col min="3" max="3" width="16.140625" bestFit="1" customWidth="1"/>
    <col min="4" max="4" width="16.5703125" customWidth="1"/>
    <col min="5" max="5" width="14.28515625" customWidth="1"/>
    <col min="6" max="6" width="13.42578125" customWidth="1"/>
    <col min="7" max="7" width="16" customWidth="1"/>
  </cols>
  <sheetData>
    <row r="1" spans="1:8" ht="18.75" x14ac:dyDescent="0.3">
      <c r="D1" s="24" t="s">
        <v>167</v>
      </c>
    </row>
    <row r="3" spans="1:8" x14ac:dyDescent="0.25">
      <c r="A3" s="2" t="s">
        <v>168</v>
      </c>
      <c r="B3" s="2" t="s">
        <v>76</v>
      </c>
      <c r="C3" s="2" t="s">
        <v>75</v>
      </c>
      <c r="D3" s="2" t="s">
        <v>169</v>
      </c>
      <c r="E3" s="2" t="s">
        <v>170</v>
      </c>
      <c r="F3" s="2" t="s">
        <v>171</v>
      </c>
      <c r="G3" s="2" t="s">
        <v>172</v>
      </c>
      <c r="H3" s="2" t="s">
        <v>173</v>
      </c>
    </row>
    <row r="4" spans="1:8" x14ac:dyDescent="0.25">
      <c r="A4">
        <v>1</v>
      </c>
      <c r="B4" t="s">
        <v>117</v>
      </c>
      <c r="C4" t="s">
        <v>174</v>
      </c>
      <c r="D4" t="s">
        <v>176</v>
      </c>
      <c r="E4" s="26">
        <v>36526</v>
      </c>
      <c r="F4" t="s">
        <v>175</v>
      </c>
      <c r="G4">
        <v>2023</v>
      </c>
      <c r="H4">
        <v>6.72</v>
      </c>
    </row>
    <row r="5" spans="1:8" x14ac:dyDescent="0.25">
      <c r="A5">
        <f>A4+1</f>
        <v>2</v>
      </c>
      <c r="B5" t="s">
        <v>177</v>
      </c>
      <c r="C5" t="s">
        <v>178</v>
      </c>
      <c r="D5" s="27" t="s">
        <v>180</v>
      </c>
      <c r="E5" s="26">
        <v>37848</v>
      </c>
      <c r="F5" t="s">
        <v>179</v>
      </c>
      <c r="G5">
        <v>2022</v>
      </c>
      <c r="H5">
        <v>7.14</v>
      </c>
    </row>
  </sheetData>
  <dataValidations count="6">
    <dataValidation type="decimal" allowBlank="1" showInputMessage="1" showErrorMessage="1" sqref="H4:H5" xr:uid="{19938881-57FF-45A5-8A9F-29B94A9EE1A7}">
      <formula1>0</formula1>
      <formula2>9</formula2>
    </dataValidation>
    <dataValidation type="whole" allowBlank="1" showInputMessage="1" showErrorMessage="1" sqref="G4:G5" xr:uid="{2EB07F4E-F661-4B32-BBF6-2E9F110D86A0}">
      <formula1>2003</formula1>
      <formula2>YEAR(TODAY())</formula2>
    </dataValidation>
    <dataValidation type="list" allowBlank="1" showInputMessage="1" showErrorMessage="1" sqref="F4:F5" xr:uid="{89F0829B-D9DE-482B-8C19-1D7305A23A67}">
      <formula1>"Alaska,Michigan,Ohio,Iowa,Texas"</formula1>
    </dataValidation>
    <dataValidation type="date" allowBlank="1" showInputMessage="1" showErrorMessage="1" sqref="E4:E5" xr:uid="{2C422188-F1FE-4150-B689-7C581353D1AE}">
      <formula1>14611</formula1>
      <formula2>EDATE(TODAY(),-15*12)</formula2>
    </dataValidation>
    <dataValidation type="textLength" showInputMessage="1" showErrorMessage="1" error="Please enter valid Name" prompt="Enter minimum of 3 characters, but not more than 15 characters." sqref="B4:C5" xr:uid="{3C50B02F-8C48-4162-B1F8-A7CCC05AB0A9}">
      <formula1>3</formula1>
      <formula2>15</formula2>
    </dataValidation>
    <dataValidation type="custom" allowBlank="1" showInputMessage="1" showErrorMessage="1" error="This is not a valid bright.edu email address" prompt="Please enter yout bright.edu email address" sqref="D4:D5" xr:uid="{B03F4953-17BB-46DD-B7E5-406074F387E0}">
      <formula1>RIGHT(D4,11)="@bright.edu"</formula1>
    </dataValidation>
  </dataValidations>
  <hyperlinks>
    <hyperlink ref="D5" r:id="rId1" xr:uid="{86D5AAFF-8E94-437B-8D18-3302F41342E9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80F72-BF3B-4E0E-BFBE-039189E44E02}">
  <sheetPr codeName="Sheet9"/>
  <dimension ref="B1:N18"/>
  <sheetViews>
    <sheetView workbookViewId="0">
      <selection activeCell="B11" sqref="B11"/>
    </sheetView>
  </sheetViews>
  <sheetFormatPr defaultRowHeight="15" x14ac:dyDescent="0.25"/>
  <cols>
    <col min="3" max="14" width="10.5703125" bestFit="1" customWidth="1"/>
  </cols>
  <sheetData>
    <row r="1" spans="2:14" x14ac:dyDescent="0.25">
      <c r="B1" s="2" t="s">
        <v>181</v>
      </c>
    </row>
    <row r="3" spans="2:14" x14ac:dyDescent="0.25">
      <c r="C3" s="2" t="s">
        <v>186</v>
      </c>
      <c r="D3" s="2" t="s">
        <v>187</v>
      </c>
      <c r="E3" s="2" t="s">
        <v>188</v>
      </c>
      <c r="F3" s="2" t="s">
        <v>189</v>
      </c>
      <c r="G3" s="2" t="s">
        <v>190</v>
      </c>
      <c r="H3" s="2" t="s">
        <v>191</v>
      </c>
      <c r="I3" s="2" t="s">
        <v>192</v>
      </c>
      <c r="J3" s="2" t="s">
        <v>193</v>
      </c>
      <c r="K3" s="2" t="s">
        <v>194</v>
      </c>
      <c r="L3" s="2" t="s">
        <v>195</v>
      </c>
      <c r="M3" s="2" t="s">
        <v>196</v>
      </c>
      <c r="N3" s="2" t="s">
        <v>197</v>
      </c>
    </row>
    <row r="4" spans="2:14" x14ac:dyDescent="0.25">
      <c r="B4" s="2" t="s">
        <v>182</v>
      </c>
      <c r="C4" s="28">
        <v>0.49685936627517857</v>
      </c>
      <c r="D4" s="28">
        <v>0.6804607101264486</v>
      </c>
      <c r="E4" s="28">
        <v>9.2564313494374995E-2</v>
      </c>
      <c r="F4" s="28">
        <v>0.16043538810263025</v>
      </c>
      <c r="G4" s="28">
        <v>0.50011608570871524</v>
      </c>
      <c r="H4" s="28">
        <v>0.69942548599341658</v>
      </c>
      <c r="I4" s="28">
        <v>2.3734376700513149E-2</v>
      </c>
      <c r="J4" s="28">
        <v>0.29610204502025217</v>
      </c>
      <c r="K4" s="28">
        <v>0.72550321120566685</v>
      </c>
      <c r="L4" s="28">
        <v>0.18120371772918364</v>
      </c>
      <c r="M4" s="28">
        <v>8.5554754082528661E-2</v>
      </c>
      <c r="N4" s="28">
        <v>0.90919953806831078</v>
      </c>
    </row>
    <row r="5" spans="2:14" x14ac:dyDescent="0.25">
      <c r="B5" s="2" t="s">
        <v>183</v>
      </c>
      <c r="C5" s="28">
        <v>0.84844277416899971</v>
      </c>
      <c r="D5" s="28">
        <v>0.76128086128740136</v>
      </c>
      <c r="E5" s="28">
        <v>0.96307562442823191</v>
      </c>
      <c r="F5" s="28">
        <v>0.73023595060063895</v>
      </c>
      <c r="G5" s="28">
        <v>0.20547031635552215</v>
      </c>
      <c r="H5" s="28">
        <v>0.61208945151595506</v>
      </c>
      <c r="I5" s="28">
        <v>0.54417620632053765</v>
      </c>
      <c r="J5" s="28">
        <v>0.91646434623303319</v>
      </c>
      <c r="K5" s="28">
        <v>0.79610599683308003</v>
      </c>
      <c r="L5" s="28">
        <v>0.800110859635495</v>
      </c>
      <c r="M5" s="28">
        <v>0.42188104452228758</v>
      </c>
      <c r="N5" s="28">
        <v>0.60257225041185725</v>
      </c>
    </row>
    <row r="6" spans="2:14" x14ac:dyDescent="0.25">
      <c r="B6" s="2" t="s">
        <v>184</v>
      </c>
      <c r="C6" s="28">
        <v>0.97301220224340812</v>
      </c>
      <c r="D6" s="28">
        <v>8.8860060374743588E-2</v>
      </c>
      <c r="E6" s="28">
        <v>0.67850206810711278</v>
      </c>
      <c r="F6" s="28">
        <v>0.22354507378788291</v>
      </c>
      <c r="G6" s="28">
        <v>0.85654263657477003</v>
      </c>
      <c r="H6" s="28">
        <v>0.47836954750968153</v>
      </c>
      <c r="I6" s="28">
        <v>0.17302371206936473</v>
      </c>
      <c r="J6" s="28">
        <v>0.76129668803973094</v>
      </c>
      <c r="K6" s="28">
        <v>0.44110651938843304</v>
      </c>
      <c r="L6" s="28">
        <v>0.14029822680607407</v>
      </c>
      <c r="M6" s="28">
        <v>0.86217115870098571</v>
      </c>
      <c r="N6" s="28">
        <v>0.84824938946020279</v>
      </c>
    </row>
    <row r="7" spans="2:14" x14ac:dyDescent="0.25">
      <c r="B7" s="2" t="s">
        <v>185</v>
      </c>
      <c r="C7" s="2">
        <f>SUM(C4:C6)</f>
        <v>2.3183143426875863</v>
      </c>
      <c r="D7" s="2">
        <f t="shared" ref="D7:N7" si="0">SUM(D4:D6)</f>
        <v>1.5306016317885935</v>
      </c>
      <c r="E7" s="2">
        <f t="shared" si="0"/>
        <v>1.7341420060297197</v>
      </c>
      <c r="F7" s="2">
        <f t="shared" si="0"/>
        <v>1.1142164124911522</v>
      </c>
      <c r="G7" s="2">
        <f t="shared" si="0"/>
        <v>1.5621290386390074</v>
      </c>
      <c r="H7" s="2">
        <f t="shared" si="0"/>
        <v>1.7898844850190532</v>
      </c>
      <c r="I7" s="2">
        <f t="shared" si="0"/>
        <v>0.74093429509041553</v>
      </c>
      <c r="J7" s="2">
        <f t="shared" si="0"/>
        <v>1.9738630792930163</v>
      </c>
      <c r="K7" s="2">
        <f t="shared" si="0"/>
        <v>1.96271572742718</v>
      </c>
      <c r="L7" s="2">
        <f t="shared" si="0"/>
        <v>1.1216128041707527</v>
      </c>
      <c r="M7" s="2">
        <f t="shared" si="0"/>
        <v>1.3696069573058018</v>
      </c>
      <c r="N7" s="2">
        <f t="shared" si="0"/>
        <v>2.3600211779403706</v>
      </c>
    </row>
    <row r="9" spans="2:14" x14ac:dyDescent="0.25">
      <c r="C9" t="s">
        <v>198</v>
      </c>
      <c r="D9" t="s">
        <v>199</v>
      </c>
    </row>
    <row r="12" spans="2:14" x14ac:dyDescent="0.25">
      <c r="C12" s="2" t="s">
        <v>186</v>
      </c>
      <c r="D12" s="2" t="s">
        <v>187</v>
      </c>
      <c r="E12" s="2" t="s">
        <v>188</v>
      </c>
      <c r="F12" s="2" t="s">
        <v>189</v>
      </c>
      <c r="G12" s="2" t="s">
        <v>190</v>
      </c>
      <c r="H12" s="2" t="s">
        <v>191</v>
      </c>
      <c r="I12" s="2" t="s">
        <v>192</v>
      </c>
      <c r="J12" s="2" t="s">
        <v>193</v>
      </c>
      <c r="K12" s="2" t="s">
        <v>194</v>
      </c>
      <c r="L12" s="2" t="s">
        <v>195</v>
      </c>
      <c r="M12" s="2" t="s">
        <v>196</v>
      </c>
      <c r="N12" s="2" t="s">
        <v>197</v>
      </c>
    </row>
    <row r="13" spans="2:14" x14ac:dyDescent="0.25">
      <c r="B13" s="2" t="s">
        <v>182</v>
      </c>
      <c r="C13">
        <v>3777</v>
      </c>
      <c r="D13">
        <v>1105</v>
      </c>
      <c r="E13">
        <v>1835</v>
      </c>
      <c r="F13">
        <v>2217</v>
      </c>
      <c r="G13">
        <v>4395</v>
      </c>
      <c r="H13">
        <v>3165</v>
      </c>
      <c r="I13">
        <v>2181</v>
      </c>
      <c r="J13">
        <v>2357</v>
      </c>
      <c r="K13">
        <v>1894</v>
      </c>
      <c r="L13">
        <v>3923</v>
      </c>
      <c r="M13">
        <v>1072</v>
      </c>
      <c r="N13">
        <v>1777</v>
      </c>
    </row>
    <row r="14" spans="2:14" x14ac:dyDescent="0.25">
      <c r="B14" s="2" t="s">
        <v>183</v>
      </c>
      <c r="C14">
        <v>3599</v>
      </c>
      <c r="D14">
        <v>3234</v>
      </c>
      <c r="E14">
        <v>2021</v>
      </c>
      <c r="F14">
        <v>1678</v>
      </c>
      <c r="G14">
        <v>1850</v>
      </c>
      <c r="H14">
        <v>2928</v>
      </c>
      <c r="I14">
        <v>4759</v>
      </c>
      <c r="J14">
        <v>1302</v>
      </c>
      <c r="K14">
        <v>4787</v>
      </c>
      <c r="L14">
        <v>3798</v>
      </c>
      <c r="M14">
        <v>1732</v>
      </c>
      <c r="N14">
        <v>1545</v>
      </c>
    </row>
    <row r="15" spans="2:14" x14ac:dyDescent="0.25">
      <c r="B15" s="2" t="s">
        <v>184</v>
      </c>
      <c r="C15">
        <v>3107</v>
      </c>
      <c r="D15">
        <v>4237</v>
      </c>
      <c r="E15">
        <v>2067</v>
      </c>
      <c r="F15">
        <v>2299</v>
      </c>
      <c r="G15">
        <v>4673</v>
      </c>
      <c r="H15">
        <v>1627</v>
      </c>
      <c r="I15">
        <v>3287</v>
      </c>
      <c r="J15">
        <v>1150</v>
      </c>
      <c r="K15">
        <v>3235</v>
      </c>
      <c r="L15">
        <v>4940</v>
      </c>
      <c r="M15">
        <v>2712</v>
      </c>
      <c r="N15">
        <v>3302</v>
      </c>
    </row>
    <row r="16" spans="2:14" x14ac:dyDescent="0.25">
      <c r="B16" s="2" t="s">
        <v>185</v>
      </c>
      <c r="C16" s="2">
        <f>SUM(C13:C15)</f>
        <v>10483</v>
      </c>
      <c r="D16" s="2">
        <f t="shared" ref="D16:N16" si="1">SUM(D13:D15)</f>
        <v>8576</v>
      </c>
      <c r="E16" s="2">
        <f t="shared" si="1"/>
        <v>5923</v>
      </c>
      <c r="F16" s="2">
        <f t="shared" si="1"/>
        <v>6194</v>
      </c>
      <c r="G16" s="2">
        <f t="shared" si="1"/>
        <v>10918</v>
      </c>
      <c r="H16" s="2">
        <f t="shared" si="1"/>
        <v>7720</v>
      </c>
      <c r="I16" s="2">
        <f t="shared" si="1"/>
        <v>10227</v>
      </c>
      <c r="J16" s="2">
        <f t="shared" si="1"/>
        <v>4809</v>
      </c>
      <c r="K16" s="2">
        <f t="shared" si="1"/>
        <v>9916</v>
      </c>
      <c r="L16" s="2">
        <f t="shared" si="1"/>
        <v>12661</v>
      </c>
      <c r="M16" s="2">
        <f t="shared" si="1"/>
        <v>5516</v>
      </c>
      <c r="N16" s="2">
        <f t="shared" si="1"/>
        <v>6624</v>
      </c>
    </row>
    <row r="18" spans="3:3" x14ac:dyDescent="0.25">
      <c r="C18" t="s">
        <v>200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28405-5C03-43B5-8D04-4E920C43B785}">
  <sheetPr codeName="Sheet10"/>
  <dimension ref="A1:E20"/>
  <sheetViews>
    <sheetView showGridLines="0" zoomScale="90" zoomScaleNormal="90" workbookViewId="0">
      <selection activeCell="C10" sqref="C10"/>
    </sheetView>
  </sheetViews>
  <sheetFormatPr defaultRowHeight="15" x14ac:dyDescent="0.25"/>
  <cols>
    <col min="2" max="2" width="15.85546875" customWidth="1"/>
    <col min="3" max="3" width="17.140625" bestFit="1" customWidth="1"/>
    <col min="4" max="4" width="16.85546875" bestFit="1" customWidth="1"/>
  </cols>
  <sheetData>
    <row r="1" spans="1:5" x14ac:dyDescent="0.25">
      <c r="A1" s="19"/>
    </row>
    <row r="2" spans="1:5" x14ac:dyDescent="0.25">
      <c r="A2" s="19"/>
      <c r="B2" t="s">
        <v>201</v>
      </c>
      <c r="C2" s="30">
        <f ca="1">NOW()</f>
        <v>45237.545058564814</v>
      </c>
    </row>
    <row r="3" spans="1:5" x14ac:dyDescent="0.25">
      <c r="B3" t="s">
        <v>202</v>
      </c>
      <c r="C3" s="32" t="s">
        <v>125</v>
      </c>
    </row>
    <row r="4" spans="1:5" x14ac:dyDescent="0.25">
      <c r="A4" s="22"/>
      <c r="B4" s="29" t="s">
        <v>203</v>
      </c>
      <c r="C4" s="33">
        <v>890</v>
      </c>
      <c r="D4" s="22"/>
      <c r="E4" s="22"/>
    </row>
    <row r="5" spans="1:5" x14ac:dyDescent="0.25">
      <c r="B5" s="29" t="s">
        <v>170</v>
      </c>
      <c r="C5" s="34">
        <v>36382</v>
      </c>
    </row>
    <row r="6" spans="1:5" x14ac:dyDescent="0.25">
      <c r="B6" s="29" t="s">
        <v>204</v>
      </c>
      <c r="C6" s="31">
        <f ca="1">IF(C5="","",YEARFRAC(C5,TODAY()))</f>
        <v>24.241666666666667</v>
      </c>
    </row>
    <row r="7" spans="1:5" x14ac:dyDescent="0.25">
      <c r="B7" s="29"/>
      <c r="C7" s="21"/>
    </row>
    <row r="8" spans="1:5" x14ac:dyDescent="0.25">
      <c r="C8" s="21"/>
    </row>
    <row r="9" spans="1:5" x14ac:dyDescent="0.25">
      <c r="C9" s="21"/>
    </row>
    <row r="10" spans="1:5" x14ac:dyDescent="0.25">
      <c r="C10" s="21"/>
    </row>
    <row r="11" spans="1:5" x14ac:dyDescent="0.25">
      <c r="C11" s="21"/>
    </row>
    <row r="12" spans="1:5" x14ac:dyDescent="0.25">
      <c r="C12" s="21"/>
    </row>
    <row r="13" spans="1:5" x14ac:dyDescent="0.25">
      <c r="C13" s="21"/>
    </row>
    <row r="14" spans="1:5" x14ac:dyDescent="0.25">
      <c r="C14" s="21"/>
    </row>
    <row r="15" spans="1:5" x14ac:dyDescent="0.25">
      <c r="C15" s="21"/>
    </row>
    <row r="16" spans="1:5" x14ac:dyDescent="0.25">
      <c r="C16" s="21"/>
    </row>
    <row r="17" spans="3:3" x14ac:dyDescent="0.25">
      <c r="C17" s="21"/>
    </row>
    <row r="18" spans="3:3" x14ac:dyDescent="0.25">
      <c r="C18" s="21"/>
    </row>
    <row r="19" spans="3:3" x14ac:dyDescent="0.25">
      <c r="C19" s="21"/>
    </row>
    <row r="20" spans="3:3" x14ac:dyDescent="0.25">
      <c r="C20" s="21"/>
    </row>
  </sheetData>
  <sheetProtection algorithmName="SHA-512" hashValue="upNdYPNJJUicT2bjtu1znYmk+k4euMJ3sw1RBoArivB/07z0UoVoIUzyLhfJEXnIdiLzg+aZW73j3IAb2qhM7w==" saltValue="08S60yqAHRRpTLSMKyBYnQ==" spinCount="100000" sheet="1" objects="1" scenarios="1"/>
  <protectedRanges>
    <protectedRange algorithmName="SHA-512" hashValue="3gPYLKLrnRamC2fZCLzFsk5UslRElx1sG+s0D/kmlsg/UYvQKwozjpBYfVuE7JJXvWiV5hH32JG5Kz0fk+q4GA==" saltValue="2M8pWEQT1v5ZJNuGijI9ug==" spinCount="100000" sqref="C3:C5" name="Range1"/>
  </protectedRange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0339-5FA2-49D9-BB20-2CF4E40CB191}">
  <sheetPr codeName="Sheet11"/>
  <dimension ref="B1:D9"/>
  <sheetViews>
    <sheetView zoomScale="90" zoomScaleNormal="90" workbookViewId="0">
      <selection activeCell="D9" sqref="D9"/>
    </sheetView>
  </sheetViews>
  <sheetFormatPr defaultRowHeight="15" x14ac:dyDescent="0.25"/>
  <cols>
    <col min="2" max="2" width="19.7109375" bestFit="1" customWidth="1"/>
  </cols>
  <sheetData>
    <row r="1" spans="2:4" x14ac:dyDescent="0.25">
      <c r="C1" s="2" t="s">
        <v>208</v>
      </c>
      <c r="D1" s="2" t="s">
        <v>209</v>
      </c>
    </row>
    <row r="2" spans="2:4" x14ac:dyDescent="0.25">
      <c r="B2" t="s">
        <v>206</v>
      </c>
      <c r="C2" s="37">
        <v>75</v>
      </c>
      <c r="D2" s="36"/>
    </row>
    <row r="3" spans="2:4" x14ac:dyDescent="0.25">
      <c r="B3" t="s">
        <v>207</v>
      </c>
      <c r="C3" s="37">
        <v>50</v>
      </c>
      <c r="D3" s="36"/>
    </row>
    <row r="4" spans="2:4" x14ac:dyDescent="0.25">
      <c r="C4" s="36"/>
      <c r="D4" s="36"/>
    </row>
    <row r="5" spans="2:4" x14ac:dyDescent="0.25">
      <c r="B5" t="s">
        <v>210</v>
      </c>
      <c r="C5" s="36"/>
      <c r="D5" s="36">
        <f>C2*C3</f>
        <v>3750</v>
      </c>
    </row>
    <row r="6" spans="2:4" x14ac:dyDescent="0.25">
      <c r="B6" t="s">
        <v>211</v>
      </c>
      <c r="C6" s="37">
        <v>30</v>
      </c>
      <c r="D6" s="36">
        <f>C6*C2</f>
        <v>2250</v>
      </c>
    </row>
    <row r="7" spans="2:4" x14ac:dyDescent="0.25">
      <c r="B7" t="s">
        <v>212</v>
      </c>
      <c r="C7" s="36">
        <f>C3-C6</f>
        <v>20</v>
      </c>
      <c r="D7" s="36">
        <f>C7*C2</f>
        <v>1500</v>
      </c>
    </row>
    <row r="8" spans="2:4" x14ac:dyDescent="0.25">
      <c r="B8" t="s">
        <v>213</v>
      </c>
      <c r="C8" s="36"/>
      <c r="D8" s="37">
        <v>1500</v>
      </c>
    </row>
    <row r="9" spans="2:4" x14ac:dyDescent="0.25">
      <c r="B9" t="s">
        <v>214</v>
      </c>
      <c r="C9" s="36"/>
      <c r="D9" s="36">
        <f>D7-D8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D28-B84B-4263-9905-1AEEC0E324DB}">
  <sheetPr codeName="Sheet12"/>
  <dimension ref="B1:D9"/>
  <sheetViews>
    <sheetView zoomScale="90" zoomScaleNormal="90" workbookViewId="0">
      <selection activeCell="F11" sqref="F11"/>
    </sheetView>
  </sheetViews>
  <sheetFormatPr defaultRowHeight="15" x14ac:dyDescent="0.25"/>
  <cols>
    <col min="2" max="2" width="19.7109375" bestFit="1" customWidth="1"/>
  </cols>
  <sheetData>
    <row r="1" spans="2:4" x14ac:dyDescent="0.25">
      <c r="C1" s="2" t="s">
        <v>208</v>
      </c>
      <c r="D1" s="2" t="s">
        <v>209</v>
      </c>
    </row>
    <row r="2" spans="2:4" x14ac:dyDescent="0.25">
      <c r="B2" t="s">
        <v>206</v>
      </c>
      <c r="C2" s="35">
        <v>175</v>
      </c>
      <c r="D2" s="36"/>
    </row>
    <row r="3" spans="2:4" x14ac:dyDescent="0.25">
      <c r="B3" t="s">
        <v>207</v>
      </c>
      <c r="C3" s="35">
        <v>50</v>
      </c>
      <c r="D3" s="36"/>
    </row>
    <row r="4" spans="2:4" x14ac:dyDescent="0.25">
      <c r="D4" s="36"/>
    </row>
    <row r="5" spans="2:4" x14ac:dyDescent="0.25">
      <c r="B5" t="s">
        <v>210</v>
      </c>
      <c r="D5" s="36">
        <f>C2*C3</f>
        <v>8750</v>
      </c>
    </row>
    <row r="6" spans="2:4" x14ac:dyDescent="0.25">
      <c r="B6" t="s">
        <v>211</v>
      </c>
      <c r="C6" s="35">
        <v>30</v>
      </c>
      <c r="D6" s="36">
        <f>C2*C6</f>
        <v>5250</v>
      </c>
    </row>
    <row r="7" spans="2:4" x14ac:dyDescent="0.25">
      <c r="B7" t="s">
        <v>212</v>
      </c>
      <c r="C7">
        <f>C3-C6</f>
        <v>20</v>
      </c>
      <c r="D7" s="36">
        <f>C2*C7</f>
        <v>3500</v>
      </c>
    </row>
    <row r="8" spans="2:4" x14ac:dyDescent="0.25">
      <c r="B8" t="s">
        <v>213</v>
      </c>
      <c r="D8" s="37">
        <v>1500</v>
      </c>
    </row>
    <row r="9" spans="2:4" x14ac:dyDescent="0.25">
      <c r="B9" t="s">
        <v>214</v>
      </c>
      <c r="D9" s="36">
        <f>D7-D8</f>
        <v>2000</v>
      </c>
    </row>
  </sheetData>
  <scenarios current="0" show="0">
    <scenario name="Scenario1" count="3" user="LENOVO" comment="Created by LENOVO on 11/6/2023">
      <inputCells r="C2" val="175"/>
      <inputCells r="C3" val="50"/>
      <inputCells r="C6" val="30"/>
    </scenario>
  </scenario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E528-C273-4F75-9534-A74ABEB1DFAA}">
  <sheetPr codeName="Sheet13"/>
  <dimension ref="B1:Q23"/>
  <sheetViews>
    <sheetView zoomScale="90" zoomScaleNormal="90" workbookViewId="0">
      <selection activeCell="C26" sqref="C26"/>
    </sheetView>
  </sheetViews>
  <sheetFormatPr defaultRowHeight="15" x14ac:dyDescent="0.25"/>
  <cols>
    <col min="2" max="2" width="19.7109375" bestFit="1" customWidth="1"/>
  </cols>
  <sheetData>
    <row r="1" spans="2:17" x14ac:dyDescent="0.25">
      <c r="C1" s="2" t="s">
        <v>208</v>
      </c>
      <c r="D1" s="2" t="s">
        <v>209</v>
      </c>
    </row>
    <row r="2" spans="2:17" x14ac:dyDescent="0.25">
      <c r="B2" t="s">
        <v>206</v>
      </c>
      <c r="C2" s="35">
        <v>80</v>
      </c>
    </row>
    <row r="3" spans="2:17" x14ac:dyDescent="0.25">
      <c r="B3" t="s">
        <v>207</v>
      </c>
      <c r="C3" s="35">
        <v>70</v>
      </c>
    </row>
    <row r="5" spans="2:17" x14ac:dyDescent="0.25">
      <c r="B5" t="s">
        <v>210</v>
      </c>
      <c r="D5">
        <f>C2*C3</f>
        <v>5600</v>
      </c>
    </row>
    <row r="6" spans="2:17" x14ac:dyDescent="0.25">
      <c r="B6" t="s">
        <v>211</v>
      </c>
      <c r="C6" s="35">
        <v>40</v>
      </c>
      <c r="D6">
        <f>C2*C6</f>
        <v>3200</v>
      </c>
    </row>
    <row r="7" spans="2:17" x14ac:dyDescent="0.25">
      <c r="B7" t="s">
        <v>212</v>
      </c>
      <c r="C7">
        <f>C3-C6</f>
        <v>30</v>
      </c>
      <c r="D7">
        <f>C2*C7</f>
        <v>2400</v>
      </c>
    </row>
    <row r="8" spans="2:17" x14ac:dyDescent="0.25">
      <c r="B8" t="s">
        <v>213</v>
      </c>
      <c r="D8" s="35">
        <v>1500</v>
      </c>
      <c r="J8" t="s">
        <v>217</v>
      </c>
    </row>
    <row r="9" spans="2:17" x14ac:dyDescent="0.25">
      <c r="B9" t="s">
        <v>214</v>
      </c>
      <c r="D9">
        <f>D7-D8</f>
        <v>900</v>
      </c>
    </row>
    <row r="10" spans="2:17" x14ac:dyDescent="0.25">
      <c r="E10" t="s">
        <v>218</v>
      </c>
      <c r="M10" t="s">
        <v>216</v>
      </c>
    </row>
    <row r="11" spans="2:17" x14ac:dyDescent="0.25">
      <c r="B11" t="s">
        <v>215</v>
      </c>
      <c r="C11" t="s">
        <v>214</v>
      </c>
      <c r="G11" s="41">
        <f>D9</f>
        <v>900</v>
      </c>
      <c r="K11" s="39">
        <v>25</v>
      </c>
      <c r="L11" s="39">
        <v>30</v>
      </c>
      <c r="M11" s="39">
        <v>35</v>
      </c>
      <c r="N11" s="39">
        <v>40</v>
      </c>
      <c r="O11" s="39">
        <v>45</v>
      </c>
      <c r="P11" s="39">
        <v>50</v>
      </c>
    </row>
    <row r="12" spans="2:17" x14ac:dyDescent="0.25">
      <c r="B12">
        <v>40</v>
      </c>
      <c r="C12">
        <v>-750</v>
      </c>
      <c r="F12" s="39">
        <v>40</v>
      </c>
      <c r="G12" s="15">
        <f t="dataTable" ref="G12:G18" dt2D="0" dtr="0" r1="C3"/>
        <v>-1500</v>
      </c>
      <c r="J12" s="41">
        <f>D9</f>
        <v>900</v>
      </c>
      <c r="K12" s="15">
        <f t="dataTable" ref="K12:P12" dt2D="0" dtr="1" r1="C6"/>
        <v>900</v>
      </c>
      <c r="L12" s="15">
        <v>900</v>
      </c>
      <c r="M12" s="15">
        <v>900</v>
      </c>
      <c r="N12" s="15">
        <v>900</v>
      </c>
      <c r="O12" s="15">
        <v>900</v>
      </c>
      <c r="P12" s="15">
        <v>900</v>
      </c>
    </row>
    <row r="13" spans="2:17" x14ac:dyDescent="0.25">
      <c r="B13">
        <v>45</v>
      </c>
      <c r="C13">
        <v>-375</v>
      </c>
      <c r="F13" s="39">
        <v>45</v>
      </c>
      <c r="G13" s="15">
        <v>-1100</v>
      </c>
    </row>
    <row r="14" spans="2:17" x14ac:dyDescent="0.25">
      <c r="B14">
        <v>50</v>
      </c>
      <c r="C14">
        <v>0</v>
      </c>
      <c r="F14" s="39">
        <v>50</v>
      </c>
      <c r="G14" s="15">
        <v>-700</v>
      </c>
    </row>
    <row r="15" spans="2:17" x14ac:dyDescent="0.25">
      <c r="B15">
        <v>55</v>
      </c>
      <c r="C15">
        <v>375</v>
      </c>
      <c r="F15" s="39">
        <v>55</v>
      </c>
      <c r="G15" s="15">
        <v>-300</v>
      </c>
      <c r="N15" t="s">
        <v>216</v>
      </c>
    </row>
    <row r="16" spans="2:17" x14ac:dyDescent="0.25">
      <c r="B16">
        <v>60</v>
      </c>
      <c r="C16">
        <v>750</v>
      </c>
      <c r="F16" s="39">
        <v>60</v>
      </c>
      <c r="G16" s="15">
        <v>100</v>
      </c>
      <c r="K16" s="42">
        <f>D9</f>
        <v>900</v>
      </c>
      <c r="L16" s="39">
        <v>25</v>
      </c>
      <c r="M16" s="39">
        <v>30</v>
      </c>
      <c r="N16" s="39">
        <v>35</v>
      </c>
      <c r="O16" s="39">
        <v>40</v>
      </c>
      <c r="P16" s="39">
        <v>45</v>
      </c>
      <c r="Q16" s="39">
        <v>50</v>
      </c>
    </row>
    <row r="17" spans="2:17" x14ac:dyDescent="0.25">
      <c r="B17">
        <v>65</v>
      </c>
      <c r="C17">
        <v>1125</v>
      </c>
      <c r="F17" s="39">
        <v>65</v>
      </c>
      <c r="G17" s="15">
        <v>500</v>
      </c>
      <c r="J17" s="64" t="s">
        <v>219</v>
      </c>
      <c r="K17" s="39">
        <v>40</v>
      </c>
      <c r="L17">
        <f t="dataTable" ref="L17:Q23" dt2D="1" dtr="1" r1="C6" r2="C3"/>
        <v>900</v>
      </c>
      <c r="M17">
        <v>900</v>
      </c>
      <c r="N17">
        <v>900</v>
      </c>
      <c r="O17">
        <v>900</v>
      </c>
      <c r="P17">
        <v>900</v>
      </c>
      <c r="Q17">
        <v>900</v>
      </c>
    </row>
    <row r="18" spans="2:17" x14ac:dyDescent="0.25">
      <c r="B18">
        <v>70</v>
      </c>
      <c r="C18">
        <v>1500</v>
      </c>
      <c r="F18" s="39">
        <v>70</v>
      </c>
      <c r="G18" s="15">
        <v>900</v>
      </c>
      <c r="J18" s="64"/>
      <c r="K18" s="39">
        <v>45</v>
      </c>
      <c r="L18">
        <v>900</v>
      </c>
      <c r="M18">
        <v>900</v>
      </c>
      <c r="N18">
        <v>900</v>
      </c>
      <c r="O18">
        <v>900</v>
      </c>
      <c r="P18">
        <v>900</v>
      </c>
      <c r="Q18">
        <v>900</v>
      </c>
    </row>
    <row r="19" spans="2:17" x14ac:dyDescent="0.25">
      <c r="J19" s="64"/>
      <c r="K19" s="39">
        <v>50</v>
      </c>
      <c r="L19">
        <v>900</v>
      </c>
      <c r="M19">
        <v>900</v>
      </c>
      <c r="N19">
        <v>900</v>
      </c>
      <c r="O19">
        <v>900</v>
      </c>
      <c r="P19">
        <v>900</v>
      </c>
      <c r="Q19">
        <v>900</v>
      </c>
    </row>
    <row r="20" spans="2:17" ht="15.75" x14ac:dyDescent="0.25">
      <c r="B20" s="38"/>
      <c r="F20" s="38"/>
      <c r="J20" s="64"/>
      <c r="K20" s="39">
        <v>55</v>
      </c>
      <c r="L20">
        <v>900</v>
      </c>
      <c r="M20">
        <v>900</v>
      </c>
      <c r="N20">
        <v>900</v>
      </c>
      <c r="O20">
        <v>900</v>
      </c>
      <c r="P20">
        <v>900</v>
      </c>
      <c r="Q20">
        <v>900</v>
      </c>
    </row>
    <row r="21" spans="2:17" x14ac:dyDescent="0.25">
      <c r="J21" s="64"/>
      <c r="K21" s="39">
        <v>60</v>
      </c>
      <c r="L21">
        <v>900</v>
      </c>
      <c r="M21">
        <v>900</v>
      </c>
      <c r="N21">
        <v>900</v>
      </c>
      <c r="O21">
        <v>900</v>
      </c>
      <c r="P21">
        <v>900</v>
      </c>
      <c r="Q21">
        <v>900</v>
      </c>
    </row>
    <row r="22" spans="2:17" x14ac:dyDescent="0.25">
      <c r="J22" s="64"/>
      <c r="K22" s="39">
        <v>65</v>
      </c>
      <c r="L22">
        <v>900</v>
      </c>
      <c r="M22">
        <v>900</v>
      </c>
      <c r="N22">
        <v>900</v>
      </c>
      <c r="O22">
        <v>900</v>
      </c>
      <c r="P22">
        <v>900</v>
      </c>
      <c r="Q22">
        <v>900</v>
      </c>
    </row>
    <row r="23" spans="2:17" x14ac:dyDescent="0.25">
      <c r="J23" s="64"/>
      <c r="K23" s="39">
        <v>70</v>
      </c>
      <c r="L23">
        <v>900</v>
      </c>
      <c r="M23">
        <v>900</v>
      </c>
      <c r="N23">
        <v>900</v>
      </c>
      <c r="O23">
        <v>900</v>
      </c>
      <c r="P23">
        <v>900</v>
      </c>
      <c r="Q23">
        <v>900</v>
      </c>
    </row>
  </sheetData>
  <scenarios current="0" show="0">
    <scenario name="Scenario1" count="3" user="LENOVO" comment="Created by LENOVO on 11/6/2023">
      <inputCells r="C2" val="175"/>
      <inputCells r="C3" val="50"/>
      <inputCells r="C6" val="30"/>
    </scenario>
  </scenarios>
  <mergeCells count="1">
    <mergeCell ref="J17:J2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125B-3955-4B09-AD8F-C9A3F04E96E2}">
  <sheetPr codeName="Sheet14"/>
  <dimension ref="A1:K39"/>
  <sheetViews>
    <sheetView topLeftCell="A16" zoomScale="90" zoomScaleNormal="90" workbookViewId="0">
      <selection activeCell="N37" sqref="N37"/>
    </sheetView>
  </sheetViews>
  <sheetFormatPr defaultRowHeight="15" x14ac:dyDescent="0.25"/>
  <cols>
    <col min="1" max="1" width="13.85546875" customWidth="1"/>
    <col min="2" max="2" width="12.28515625" bestFit="1" customWidth="1"/>
    <col min="3" max="3" width="11.5703125" bestFit="1" customWidth="1"/>
  </cols>
  <sheetData>
    <row r="1" spans="1:3" ht="30" x14ac:dyDescent="0.25">
      <c r="A1" s="43" t="s">
        <v>205</v>
      </c>
      <c r="B1" s="43" t="s">
        <v>220</v>
      </c>
      <c r="C1" s="43" t="s">
        <v>221</v>
      </c>
    </row>
    <row r="2" spans="1:3" x14ac:dyDescent="0.25">
      <c r="A2" s="40">
        <v>2011</v>
      </c>
      <c r="B2" s="15">
        <v>240</v>
      </c>
      <c r="C2" s="15">
        <v>200</v>
      </c>
    </row>
    <row r="3" spans="1:3" x14ac:dyDescent="0.25">
      <c r="A3" s="40">
        <f>A2+1</f>
        <v>2012</v>
      </c>
      <c r="B3" s="15">
        <v>265</v>
      </c>
      <c r="C3" s="15">
        <v>220</v>
      </c>
    </row>
    <row r="4" spans="1:3" x14ac:dyDescent="0.25">
      <c r="A4" s="40">
        <f t="shared" ref="A4:A11" si="0">A3+1</f>
        <v>2013</v>
      </c>
      <c r="B4" s="15">
        <v>300</v>
      </c>
      <c r="C4" s="15">
        <v>242</v>
      </c>
    </row>
    <row r="5" spans="1:3" x14ac:dyDescent="0.25">
      <c r="A5" s="40">
        <f t="shared" si="0"/>
        <v>2014</v>
      </c>
      <c r="B5" s="15">
        <v>320</v>
      </c>
      <c r="C5" s="15">
        <v>330</v>
      </c>
    </row>
    <row r="6" spans="1:3" x14ac:dyDescent="0.25">
      <c r="A6" s="40">
        <f t="shared" si="0"/>
        <v>2015</v>
      </c>
      <c r="B6" s="15">
        <v>350</v>
      </c>
      <c r="C6" s="15">
        <v>320</v>
      </c>
    </row>
    <row r="7" spans="1:3" x14ac:dyDescent="0.25">
      <c r="A7" s="40">
        <f t="shared" si="0"/>
        <v>2016</v>
      </c>
      <c r="B7" s="15">
        <v>390</v>
      </c>
      <c r="C7" s="15">
        <v>385</v>
      </c>
    </row>
    <row r="8" spans="1:3" x14ac:dyDescent="0.25">
      <c r="A8" s="40">
        <f t="shared" si="0"/>
        <v>2017</v>
      </c>
      <c r="B8" s="15">
        <v>430</v>
      </c>
      <c r="C8" s="15">
        <v>450</v>
      </c>
    </row>
    <row r="9" spans="1:3" x14ac:dyDescent="0.25">
      <c r="A9" s="40">
        <f t="shared" si="0"/>
        <v>2018</v>
      </c>
      <c r="B9" s="15">
        <v>475</v>
      </c>
      <c r="C9" s="15">
        <v>480</v>
      </c>
    </row>
    <row r="10" spans="1:3" x14ac:dyDescent="0.25">
      <c r="A10" s="40">
        <f t="shared" si="0"/>
        <v>2019</v>
      </c>
      <c r="B10" s="15">
        <v>520</v>
      </c>
      <c r="C10" s="15">
        <v>530</v>
      </c>
    </row>
    <row r="11" spans="1:3" x14ac:dyDescent="0.25">
      <c r="A11" s="40">
        <f t="shared" si="0"/>
        <v>2020</v>
      </c>
      <c r="B11" s="15">
        <v>550</v>
      </c>
      <c r="C11" s="15">
        <v>555</v>
      </c>
    </row>
    <row r="18" spans="1:3" x14ac:dyDescent="0.25">
      <c r="A18" s="44" t="s">
        <v>205</v>
      </c>
      <c r="B18" s="44" t="s">
        <v>222</v>
      </c>
      <c r="C18" s="44" t="s">
        <v>206</v>
      </c>
    </row>
    <row r="19" spans="1:3" x14ac:dyDescent="0.25">
      <c r="A19" s="40">
        <v>2011</v>
      </c>
      <c r="B19" s="15">
        <v>200</v>
      </c>
      <c r="C19" s="17">
        <v>2400</v>
      </c>
    </row>
    <row r="20" spans="1:3" x14ac:dyDescent="0.25">
      <c r="A20" s="40">
        <f>A19+1</f>
        <v>2012</v>
      </c>
      <c r="B20" s="15">
        <v>220</v>
      </c>
      <c r="C20" s="17">
        <v>3000</v>
      </c>
    </row>
    <row r="21" spans="1:3" x14ac:dyDescent="0.25">
      <c r="A21" s="40">
        <f t="shared" ref="A21:A28" si="1">A20+1</f>
        <v>2013</v>
      </c>
      <c r="B21" s="15">
        <v>242</v>
      </c>
      <c r="C21" s="17">
        <v>3200</v>
      </c>
    </row>
    <row r="22" spans="1:3" x14ac:dyDescent="0.25">
      <c r="A22" s="40">
        <f t="shared" si="1"/>
        <v>2014</v>
      </c>
      <c r="B22" s="15">
        <v>330</v>
      </c>
      <c r="C22" s="17">
        <v>4100</v>
      </c>
    </row>
    <row r="23" spans="1:3" x14ac:dyDescent="0.25">
      <c r="A23" s="40">
        <f t="shared" si="1"/>
        <v>2015</v>
      </c>
      <c r="B23" s="15">
        <v>320</v>
      </c>
      <c r="C23" s="17">
        <v>3950</v>
      </c>
    </row>
    <row r="24" spans="1:3" x14ac:dyDescent="0.25">
      <c r="A24" s="40">
        <f t="shared" si="1"/>
        <v>2016</v>
      </c>
      <c r="B24" s="15">
        <v>385</v>
      </c>
      <c r="C24" s="17">
        <v>4850</v>
      </c>
    </row>
    <row r="25" spans="1:3" x14ac:dyDescent="0.25">
      <c r="A25" s="40">
        <f t="shared" si="1"/>
        <v>2017</v>
      </c>
      <c r="B25" s="15">
        <v>450</v>
      </c>
      <c r="C25" s="17">
        <v>5200</v>
      </c>
    </row>
    <row r="26" spans="1:3" x14ac:dyDescent="0.25">
      <c r="A26" s="40">
        <f t="shared" si="1"/>
        <v>2018</v>
      </c>
      <c r="B26" s="15">
        <v>480</v>
      </c>
      <c r="C26" s="17">
        <v>5750</v>
      </c>
    </row>
    <row r="27" spans="1:3" x14ac:dyDescent="0.25">
      <c r="A27" s="40">
        <f t="shared" si="1"/>
        <v>2019</v>
      </c>
      <c r="B27" s="15">
        <v>530</v>
      </c>
      <c r="C27" s="17">
        <v>6500</v>
      </c>
    </row>
    <row r="28" spans="1:3" x14ac:dyDescent="0.25">
      <c r="A28" s="40">
        <f t="shared" si="1"/>
        <v>2020</v>
      </c>
      <c r="B28" s="15">
        <v>555</v>
      </c>
      <c r="C28" s="17">
        <v>7100</v>
      </c>
    </row>
    <row r="35" spans="1:11" x14ac:dyDescent="0.25">
      <c r="A35" s="46"/>
      <c r="B35" s="46">
        <v>2011</v>
      </c>
      <c r="C35" s="46">
        <f>B35+1</f>
        <v>2012</v>
      </c>
      <c r="D35" s="46">
        <f t="shared" ref="D35:K35" si="2">C35+1</f>
        <v>2013</v>
      </c>
      <c r="E35" s="46">
        <f t="shared" si="2"/>
        <v>2014</v>
      </c>
      <c r="F35" s="46">
        <f t="shared" si="2"/>
        <v>2015</v>
      </c>
      <c r="G35" s="46">
        <f t="shared" si="2"/>
        <v>2016</v>
      </c>
      <c r="H35" s="46">
        <f t="shared" si="2"/>
        <v>2017</v>
      </c>
      <c r="I35" s="46">
        <f t="shared" si="2"/>
        <v>2018</v>
      </c>
      <c r="J35" s="46">
        <f>I35+1</f>
        <v>2019</v>
      </c>
      <c r="K35" s="46">
        <f t="shared" si="2"/>
        <v>2020</v>
      </c>
    </row>
    <row r="36" spans="1:11" x14ac:dyDescent="0.25">
      <c r="A36" s="40" t="s">
        <v>35</v>
      </c>
      <c r="B36" s="15">
        <v>200</v>
      </c>
      <c r="C36" s="15">
        <v>220</v>
      </c>
      <c r="D36" s="15">
        <v>242</v>
      </c>
      <c r="E36" s="15">
        <v>330</v>
      </c>
      <c r="F36" s="15">
        <v>320</v>
      </c>
      <c r="G36" s="15">
        <v>385</v>
      </c>
      <c r="H36" s="15">
        <v>450</v>
      </c>
      <c r="I36" s="15">
        <v>480</v>
      </c>
      <c r="J36" s="15">
        <v>530</v>
      </c>
      <c r="K36" s="15">
        <v>555</v>
      </c>
    </row>
    <row r="37" spans="1:11" x14ac:dyDescent="0.25">
      <c r="A37" s="40" t="s">
        <v>223</v>
      </c>
      <c r="B37" s="15">
        <v>240</v>
      </c>
      <c r="C37" s="15">
        <v>255</v>
      </c>
      <c r="D37" s="15">
        <v>250</v>
      </c>
      <c r="E37" s="15">
        <v>295</v>
      </c>
      <c r="F37" s="15">
        <v>275</v>
      </c>
      <c r="G37" s="15">
        <v>310</v>
      </c>
      <c r="H37" s="15">
        <v>345</v>
      </c>
      <c r="I37" s="15">
        <v>360</v>
      </c>
      <c r="J37" s="15">
        <v>398</v>
      </c>
      <c r="K37" s="15">
        <v>415</v>
      </c>
    </row>
    <row r="38" spans="1:11" x14ac:dyDescent="0.25">
      <c r="A38" s="40" t="s">
        <v>214</v>
      </c>
      <c r="B38" s="15">
        <f>B36-B37</f>
        <v>-40</v>
      </c>
      <c r="C38" s="15">
        <f t="shared" ref="C38:K38" si="3">C36-C37</f>
        <v>-35</v>
      </c>
      <c r="D38" s="15">
        <f t="shared" si="3"/>
        <v>-8</v>
      </c>
      <c r="E38" s="15">
        <f t="shared" si="3"/>
        <v>35</v>
      </c>
      <c r="F38" s="15">
        <f t="shared" si="3"/>
        <v>45</v>
      </c>
      <c r="G38" s="15">
        <f t="shared" si="3"/>
        <v>75</v>
      </c>
      <c r="H38" s="15">
        <f t="shared" si="3"/>
        <v>105</v>
      </c>
      <c r="I38" s="15">
        <f t="shared" si="3"/>
        <v>120</v>
      </c>
      <c r="J38" s="15">
        <f t="shared" si="3"/>
        <v>132</v>
      </c>
      <c r="K38" s="15">
        <f t="shared" si="3"/>
        <v>140</v>
      </c>
    </row>
    <row r="39" spans="1:11" x14ac:dyDescent="0.25">
      <c r="A39" s="40" t="s">
        <v>224</v>
      </c>
      <c r="B39" s="47">
        <f>B38/B36</f>
        <v>-0.2</v>
      </c>
      <c r="C39" s="47">
        <f t="shared" ref="C39:K39" si="4">C38/C36</f>
        <v>-0.15909090909090909</v>
      </c>
      <c r="D39" s="47">
        <f t="shared" si="4"/>
        <v>-3.3057851239669422E-2</v>
      </c>
      <c r="E39" s="47">
        <f t="shared" si="4"/>
        <v>0.10606060606060606</v>
      </c>
      <c r="F39" s="47">
        <f t="shared" si="4"/>
        <v>0.140625</v>
      </c>
      <c r="G39" s="47">
        <f t="shared" si="4"/>
        <v>0.19480519480519481</v>
      </c>
      <c r="H39" s="47">
        <f t="shared" si="4"/>
        <v>0.23333333333333334</v>
      </c>
      <c r="I39" s="47">
        <f t="shared" si="4"/>
        <v>0.25</v>
      </c>
      <c r="J39" s="47">
        <f t="shared" si="4"/>
        <v>0.24905660377358491</v>
      </c>
      <c r="K39" s="47">
        <f t="shared" si="4"/>
        <v>0.25225225225225223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0FB36-D97F-431A-86C8-EB66516EA01B}">
  <sheetPr codeName="Sheet15"/>
  <dimension ref="A1:G10"/>
  <sheetViews>
    <sheetView zoomScale="106" zoomScaleNormal="106" workbookViewId="0">
      <selection activeCell="G14" sqref="G14"/>
    </sheetView>
  </sheetViews>
  <sheetFormatPr defaultRowHeight="15" x14ac:dyDescent="0.25"/>
  <cols>
    <col min="1" max="1" width="12.140625" customWidth="1"/>
    <col min="3" max="3" width="10.85546875" bestFit="1" customWidth="1"/>
    <col min="5" max="5" width="9.85546875" bestFit="1" customWidth="1"/>
  </cols>
  <sheetData>
    <row r="1" spans="1:7" x14ac:dyDescent="0.25">
      <c r="A1" s="2" t="s">
        <v>225</v>
      </c>
    </row>
    <row r="2" spans="1:7" x14ac:dyDescent="0.25">
      <c r="F2" t="s">
        <v>230</v>
      </c>
    </row>
    <row r="3" spans="1:7" x14ac:dyDescent="0.25">
      <c r="A3" s="48" t="s">
        <v>7</v>
      </c>
      <c r="B3" s="48">
        <v>2016</v>
      </c>
      <c r="C3" s="48">
        <v>2017</v>
      </c>
      <c r="D3" s="48">
        <v>2018</v>
      </c>
      <c r="E3" s="48">
        <v>2019</v>
      </c>
      <c r="F3" s="48">
        <v>2020</v>
      </c>
      <c r="G3" s="50" t="s">
        <v>231</v>
      </c>
    </row>
    <row r="4" spans="1:7" x14ac:dyDescent="0.25">
      <c r="A4" s="53" t="s">
        <v>226</v>
      </c>
      <c r="B4" s="49">
        <v>741.67</v>
      </c>
      <c r="C4" s="49">
        <v>1351.96</v>
      </c>
      <c r="D4" s="49">
        <v>1041.22</v>
      </c>
      <c r="E4" s="49">
        <v>805.4</v>
      </c>
      <c r="F4" s="49">
        <v>892.11</v>
      </c>
    </row>
    <row r="5" spans="1:7" x14ac:dyDescent="0.25">
      <c r="A5" s="53" t="s">
        <v>227</v>
      </c>
      <c r="B5" s="49">
        <v>1560.21</v>
      </c>
      <c r="C5" s="49">
        <v>1653.08</v>
      </c>
      <c r="D5" s="49">
        <v>1427.22</v>
      </c>
      <c r="E5" s="49">
        <v>761.51</v>
      </c>
      <c r="F5" s="49">
        <v>1125.45</v>
      </c>
    </row>
    <row r="6" spans="1:7" x14ac:dyDescent="0.25">
      <c r="A6" s="53" t="s">
        <v>228</v>
      </c>
      <c r="B6" s="49">
        <v>816.12</v>
      </c>
      <c r="C6" s="49">
        <v>809.08</v>
      </c>
      <c r="D6" s="49">
        <v>755.35</v>
      </c>
      <c r="E6" s="49">
        <v>1012.7</v>
      </c>
      <c r="F6" s="49">
        <v>1034.17</v>
      </c>
    </row>
    <row r="7" spans="1:7" x14ac:dyDescent="0.25">
      <c r="A7" s="53" t="s">
        <v>229</v>
      </c>
      <c r="B7" s="49">
        <v>616.48</v>
      </c>
      <c r="C7" s="49">
        <v>891.64</v>
      </c>
      <c r="D7" s="49">
        <v>790.95</v>
      </c>
      <c r="E7" s="49">
        <v>803</v>
      </c>
      <c r="F7" s="49">
        <v>1445.03</v>
      </c>
    </row>
    <row r="8" spans="1:7" x14ac:dyDescent="0.25">
      <c r="A8" s="53" t="s">
        <v>88</v>
      </c>
      <c r="B8" s="49">
        <v>1404.2</v>
      </c>
      <c r="C8" s="49">
        <v>1174.69</v>
      </c>
      <c r="D8" s="49">
        <v>769.34</v>
      </c>
      <c r="E8" s="49">
        <v>1060.3599999999999</v>
      </c>
      <c r="F8" s="49">
        <v>683.05</v>
      </c>
    </row>
    <row r="9" spans="1:7" x14ac:dyDescent="0.25">
      <c r="A9" s="53" t="s">
        <v>185</v>
      </c>
      <c r="B9" s="51">
        <f>SUM(B4:B8)</f>
        <v>5138.68</v>
      </c>
      <c r="C9" s="51">
        <f t="shared" ref="C9:F9" si="0">SUM(C4:C8)</f>
        <v>5880.4500000000007</v>
      </c>
      <c r="D9" s="51">
        <f t="shared" si="0"/>
        <v>4784.08</v>
      </c>
      <c r="E9" s="51">
        <f t="shared" si="0"/>
        <v>4442.9699999999993</v>
      </c>
      <c r="F9" s="51">
        <f t="shared" si="0"/>
        <v>5179.8100000000004</v>
      </c>
    </row>
    <row r="10" spans="1:7" ht="38.25" customHeight="1" x14ac:dyDescent="0.25">
      <c r="A10" s="54" t="s">
        <v>232</v>
      </c>
      <c r="B10" s="15"/>
      <c r="C10" s="15"/>
      <c r="D10" s="15"/>
      <c r="E10" s="15"/>
      <c r="F10" s="15"/>
    </row>
  </sheetData>
  <pageMargins left="0.7" right="0.7" top="0.75" bottom="0.75" header="0.3" footer="0.3"/>
  <ignoredErrors>
    <ignoredError sqref="B9 C9:F9" formulaRange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BCE4AAE-9FC0-484C-86A0-FF2D6380D17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Sparklines!B4:F4</xm:f>
              <xm:sqref>G4</xm:sqref>
            </x14:sparkline>
            <x14:sparkline>
              <xm:f>Sparklines!B5:F5</xm:f>
              <xm:sqref>G5</xm:sqref>
            </x14:sparkline>
            <x14:sparkline>
              <xm:f>Sparklines!B6:F6</xm:f>
              <xm:sqref>G6</xm:sqref>
            </x14:sparkline>
            <x14:sparkline>
              <xm:f>Sparklines!B7:F7</xm:f>
              <xm:sqref>G7</xm:sqref>
            </x14:sparkline>
            <x14:sparkline>
              <xm:f>Sparklines!B8:F8</xm:f>
              <xm:sqref>G8</xm:sqref>
            </x14:sparkline>
            <x14:sparkline>
              <xm:f>Sparklines!B9:F9</xm:f>
              <xm:sqref>G9</xm:sqref>
            </x14:sparkline>
          </x14:sparklines>
        </x14:sparklineGroup>
        <x14:sparklineGroup type="column" displayEmptyCellsAs="gap" xr2:uid="{702BD7F7-8178-411C-9179-D1EF8E84E427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Sparklines!B4:F4</xm:f>
              <xm:sqref>H4</xm:sqref>
            </x14:sparkline>
            <x14:sparkline>
              <xm:f>Sparklines!B5:F5</xm:f>
              <xm:sqref>H5</xm:sqref>
            </x14:sparkline>
            <x14:sparkline>
              <xm:f>Sparklines!B6:F6</xm:f>
              <xm:sqref>H6</xm:sqref>
            </x14:sparkline>
            <x14:sparkline>
              <xm:f>Sparklines!B7:F7</xm:f>
              <xm:sqref>H7</xm:sqref>
            </x14:sparkline>
            <x14:sparkline>
              <xm:f>Sparklines!B8:F8</xm:f>
              <xm:sqref>H8</xm:sqref>
            </x14:sparkline>
            <x14:sparkline>
              <xm:f>Sparklines!B9:F9</xm:f>
              <xm:sqref>H9</xm:sqref>
            </x14:sparkline>
          </x14:sparklines>
        </x14:sparklineGroup>
        <x14:sparklineGroup type="column" displayEmptyCellsAs="gap" xr2:uid="{E9EBB8D8-2DC7-46C7-91C1-8AB0AC3F4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Sparklines!B4:B8</xm:f>
              <xm:sqref>B10</xm:sqref>
            </x14:sparkline>
            <x14:sparkline>
              <xm:f>Sparklines!C4:C8</xm:f>
              <xm:sqref>C10</xm:sqref>
            </x14:sparkline>
            <x14:sparkline>
              <xm:f>Sparklines!D4:D8</xm:f>
              <xm:sqref>D10</xm:sqref>
            </x14:sparkline>
            <x14:sparkline>
              <xm:f>Sparklines!E4:E8</xm:f>
              <xm:sqref>E10</xm:sqref>
            </x14:sparkline>
            <x14:sparkline>
              <xm:f>Sparklines!F4:F8</xm:f>
              <xm:sqref>F10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F639C-41E3-4BDA-9490-A66C12653C6A}">
  <sheetPr codeName="Sheet16"/>
  <dimension ref="A1:B27"/>
  <sheetViews>
    <sheetView topLeftCell="A15" zoomScale="90" zoomScaleNormal="90" workbookViewId="0">
      <selection activeCell="C30" sqref="C30"/>
    </sheetView>
  </sheetViews>
  <sheetFormatPr defaultRowHeight="15" x14ac:dyDescent="0.25"/>
  <cols>
    <col min="1" max="1" width="18.85546875" customWidth="1"/>
    <col min="2" max="2" width="19" bestFit="1" customWidth="1"/>
  </cols>
  <sheetData>
    <row r="1" spans="1:2" x14ac:dyDescent="0.25">
      <c r="A1" s="2" t="s">
        <v>233</v>
      </c>
    </row>
    <row r="3" spans="1:2" x14ac:dyDescent="0.25">
      <c r="A3" s="20" t="s">
        <v>235</v>
      </c>
      <c r="B3" s="20" t="s">
        <v>234</v>
      </c>
    </row>
    <row r="4" spans="1:2" x14ac:dyDescent="0.25">
      <c r="A4" s="45" t="s">
        <v>186</v>
      </c>
      <c r="B4" s="52">
        <v>2000</v>
      </c>
    </row>
    <row r="5" spans="1:2" x14ac:dyDescent="0.25">
      <c r="A5" s="45" t="s">
        <v>187</v>
      </c>
      <c r="B5" s="52">
        <v>-300</v>
      </c>
    </row>
    <row r="6" spans="1:2" x14ac:dyDescent="0.25">
      <c r="A6" s="45" t="s">
        <v>188</v>
      </c>
      <c r="B6" s="52">
        <v>500</v>
      </c>
    </row>
    <row r="7" spans="1:2" x14ac:dyDescent="0.25">
      <c r="A7" s="45" t="s">
        <v>191</v>
      </c>
      <c r="B7" s="52">
        <v>200</v>
      </c>
    </row>
    <row r="8" spans="1:2" x14ac:dyDescent="0.25">
      <c r="A8" s="45" t="s">
        <v>193</v>
      </c>
      <c r="B8" s="52">
        <v>-500</v>
      </c>
    </row>
    <row r="9" spans="1:2" x14ac:dyDescent="0.25">
      <c r="A9" s="45" t="s">
        <v>195</v>
      </c>
      <c r="B9" s="52">
        <v>-400</v>
      </c>
    </row>
    <row r="10" spans="1:2" x14ac:dyDescent="0.25">
      <c r="A10" s="45" t="s">
        <v>197</v>
      </c>
      <c r="B10" s="52">
        <v>1500</v>
      </c>
    </row>
    <row r="20" spans="1:2" x14ac:dyDescent="0.25">
      <c r="A20" t="s">
        <v>236</v>
      </c>
    </row>
    <row r="21" spans="1:2" x14ac:dyDescent="0.25">
      <c r="B21" s="56" t="s">
        <v>242</v>
      </c>
    </row>
    <row r="22" spans="1:2" x14ac:dyDescent="0.25">
      <c r="A22" s="55" t="s">
        <v>35</v>
      </c>
      <c r="B22" s="36">
        <v>100000</v>
      </c>
    </row>
    <row r="23" spans="1:2" x14ac:dyDescent="0.25">
      <c r="A23" s="55" t="s">
        <v>237</v>
      </c>
      <c r="B23" s="36">
        <v>-40000</v>
      </c>
    </row>
    <row r="24" spans="1:2" x14ac:dyDescent="0.25">
      <c r="A24" s="55" t="s">
        <v>238</v>
      </c>
      <c r="B24" s="36">
        <v>25000</v>
      </c>
    </row>
    <row r="25" spans="1:2" x14ac:dyDescent="0.25">
      <c r="A25" s="55" t="s">
        <v>239</v>
      </c>
      <c r="B25" s="36">
        <v>-20000</v>
      </c>
    </row>
    <row r="26" spans="1:2" x14ac:dyDescent="0.25">
      <c r="A26" s="55" t="s">
        <v>240</v>
      </c>
      <c r="B26" s="36">
        <v>-15000</v>
      </c>
    </row>
    <row r="27" spans="1:2" x14ac:dyDescent="0.25">
      <c r="A27" s="55" t="s">
        <v>241</v>
      </c>
      <c r="B27" s="36">
        <v>50000</v>
      </c>
    </row>
  </sheetData>
  <phoneticPr fontId="9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516CA-379E-490C-9F70-6EDB829ADF57}">
  <sheetPr codeName="Sheet17"/>
  <dimension ref="A1:O28"/>
  <sheetViews>
    <sheetView zoomScale="80" zoomScaleNormal="80" workbookViewId="0">
      <selection activeCell="H3" sqref="H3:J9"/>
    </sheetView>
  </sheetViews>
  <sheetFormatPr defaultRowHeight="15" x14ac:dyDescent="0.25"/>
  <cols>
    <col min="2" max="2" width="19.140625" bestFit="1" customWidth="1"/>
    <col min="5" max="5" width="19.140625" bestFit="1" customWidth="1"/>
    <col min="8" max="8" width="12.140625" bestFit="1" customWidth="1"/>
    <col min="9" max="9" width="12.7109375" bestFit="1" customWidth="1"/>
    <col min="10" max="10" width="11.42578125" bestFit="1" customWidth="1"/>
  </cols>
  <sheetData>
    <row r="1" spans="1:15" x14ac:dyDescent="0.25">
      <c r="B1" s="57"/>
    </row>
    <row r="2" spans="1:15" x14ac:dyDescent="0.25">
      <c r="A2" s="58"/>
      <c r="B2" s="65" t="s">
        <v>245</v>
      </c>
      <c r="C2" s="66"/>
      <c r="E2" s="65" t="s">
        <v>264</v>
      </c>
      <c r="F2" s="66"/>
    </row>
    <row r="3" spans="1:15" x14ac:dyDescent="0.25">
      <c r="A3" s="58"/>
      <c r="B3" s="59" t="s">
        <v>246</v>
      </c>
      <c r="C3" s="60" t="s">
        <v>204</v>
      </c>
      <c r="E3" s="59" t="s">
        <v>246</v>
      </c>
      <c r="F3" s="60" t="s">
        <v>204</v>
      </c>
      <c r="H3" s="15"/>
      <c r="I3" s="13" t="s">
        <v>245</v>
      </c>
      <c r="J3" s="13" t="s">
        <v>264</v>
      </c>
    </row>
    <row r="4" spans="1:15" x14ac:dyDescent="0.25">
      <c r="B4" t="s">
        <v>247</v>
      </c>
      <c r="C4">
        <v>34</v>
      </c>
      <c r="E4" t="s">
        <v>265</v>
      </c>
      <c r="F4">
        <v>23</v>
      </c>
      <c r="H4" s="13" t="s">
        <v>282</v>
      </c>
      <c r="I4" s="61">
        <f>AVERAGE(C4:C28)</f>
        <v>27.84</v>
      </c>
      <c r="J4" s="15">
        <f>AVERAGE(F4:F28)</f>
        <v>24.24</v>
      </c>
      <c r="N4">
        <v>16</v>
      </c>
      <c r="O4">
        <v>17</v>
      </c>
    </row>
    <row r="5" spans="1:15" x14ac:dyDescent="0.25">
      <c r="B5" t="s">
        <v>248</v>
      </c>
      <c r="C5">
        <v>23</v>
      </c>
      <c r="E5" t="s">
        <v>266</v>
      </c>
      <c r="F5">
        <v>24</v>
      </c>
      <c r="H5" s="13" t="s">
        <v>283</v>
      </c>
      <c r="I5" s="15">
        <f>MIN(C4:C28)</f>
        <v>16</v>
      </c>
      <c r="J5" s="15">
        <f>MIN(F4:F28)</f>
        <v>17</v>
      </c>
      <c r="N5">
        <v>17</v>
      </c>
      <c r="O5">
        <v>18</v>
      </c>
    </row>
    <row r="6" spans="1:15" x14ac:dyDescent="0.25">
      <c r="B6" t="s">
        <v>249</v>
      </c>
      <c r="C6">
        <v>34</v>
      </c>
      <c r="E6" t="s">
        <v>267</v>
      </c>
      <c r="F6">
        <v>24</v>
      </c>
      <c r="H6" s="13" t="s">
        <v>243</v>
      </c>
      <c r="I6" s="15">
        <f>MEDIAN(N4:N15)</f>
        <v>25</v>
      </c>
      <c r="J6" s="15">
        <f>MEDIAN(O4:O15)</f>
        <v>21.5</v>
      </c>
      <c r="N6">
        <v>20</v>
      </c>
      <c r="O6">
        <v>19</v>
      </c>
    </row>
    <row r="7" spans="1:15" x14ac:dyDescent="0.25">
      <c r="B7" t="s">
        <v>250</v>
      </c>
      <c r="C7">
        <v>25</v>
      </c>
      <c r="E7" t="s">
        <v>268</v>
      </c>
      <c r="F7">
        <v>21</v>
      </c>
      <c r="H7" s="13" t="s">
        <v>301</v>
      </c>
      <c r="I7" s="15">
        <f>MEDIAN(C4:C28)</f>
        <v>29</v>
      </c>
      <c r="J7" s="15">
        <f>MEDIAN(F4:F28)</f>
        <v>23</v>
      </c>
      <c r="N7">
        <v>22</v>
      </c>
      <c r="O7">
        <v>19</v>
      </c>
    </row>
    <row r="8" spans="1:15" x14ac:dyDescent="0.25">
      <c r="B8" t="s">
        <v>251</v>
      </c>
      <c r="C8">
        <v>26</v>
      </c>
      <c r="E8" t="s">
        <v>269</v>
      </c>
      <c r="F8">
        <v>22</v>
      </c>
      <c r="H8" s="13" t="s">
        <v>244</v>
      </c>
      <c r="I8" s="15">
        <f>MEDIAN(N17:N28)</f>
        <v>31.5</v>
      </c>
      <c r="J8" s="15">
        <f>MEDIAN(O17:O28)</f>
        <v>29</v>
      </c>
      <c r="N8">
        <v>23</v>
      </c>
      <c r="O8">
        <v>21</v>
      </c>
    </row>
    <row r="9" spans="1:15" x14ac:dyDescent="0.25">
      <c r="B9" t="s">
        <v>252</v>
      </c>
      <c r="C9">
        <v>29</v>
      </c>
      <c r="E9" t="s">
        <v>270</v>
      </c>
      <c r="F9">
        <v>31</v>
      </c>
      <c r="H9" s="13" t="s">
        <v>284</v>
      </c>
      <c r="I9" s="15">
        <f>MAX(C4:C28)</f>
        <v>35</v>
      </c>
      <c r="J9" s="15">
        <f>MAX(F4:F28)</f>
        <v>31</v>
      </c>
      <c r="N9" s="63">
        <v>25</v>
      </c>
      <c r="O9" s="63">
        <v>21</v>
      </c>
    </row>
    <row r="10" spans="1:15" x14ac:dyDescent="0.25">
      <c r="B10" t="s">
        <v>253</v>
      </c>
      <c r="C10">
        <v>29</v>
      </c>
      <c r="E10" t="s">
        <v>271</v>
      </c>
      <c r="F10">
        <v>22</v>
      </c>
      <c r="N10" s="63">
        <v>25</v>
      </c>
      <c r="O10" s="63">
        <v>22</v>
      </c>
    </row>
    <row r="11" spans="1:15" x14ac:dyDescent="0.25">
      <c r="B11" t="s">
        <v>254</v>
      </c>
      <c r="C11">
        <v>20</v>
      </c>
      <c r="E11" t="s">
        <v>281</v>
      </c>
      <c r="F11">
        <v>29</v>
      </c>
      <c r="H11" s="2" t="s">
        <v>302</v>
      </c>
      <c r="N11">
        <v>26</v>
      </c>
      <c r="O11">
        <v>22</v>
      </c>
    </row>
    <row r="12" spans="1:15" x14ac:dyDescent="0.25">
      <c r="B12" t="s">
        <v>255</v>
      </c>
      <c r="C12">
        <v>16</v>
      </c>
      <c r="E12" t="s">
        <v>272</v>
      </c>
      <c r="F12">
        <v>22</v>
      </c>
      <c r="H12" s="13" t="s">
        <v>243</v>
      </c>
      <c r="I12" s="15">
        <f>_xlfn.QUARTILE.EXC(C4:C28,1)</f>
        <v>25</v>
      </c>
      <c r="J12" s="15">
        <f>_xlfn.QUARTILE.EXC(F4:F28,1)</f>
        <v>21.5</v>
      </c>
      <c r="N12">
        <v>27</v>
      </c>
      <c r="O12">
        <v>22</v>
      </c>
    </row>
    <row r="13" spans="1:15" x14ac:dyDescent="0.25">
      <c r="B13" t="s">
        <v>256</v>
      </c>
      <c r="C13">
        <v>30</v>
      </c>
      <c r="E13" t="s">
        <v>273</v>
      </c>
      <c r="F13">
        <v>29</v>
      </c>
      <c r="H13" s="13" t="s">
        <v>301</v>
      </c>
      <c r="I13" s="15">
        <f>_xlfn.QUARTILE.EXC(C4:C28,2)</f>
        <v>29</v>
      </c>
      <c r="J13" s="15">
        <f>_xlfn.QUARTILE.EXC(F4:F28,2)</f>
        <v>23</v>
      </c>
      <c r="N13">
        <v>27</v>
      </c>
      <c r="O13">
        <v>22</v>
      </c>
    </row>
    <row r="14" spans="1:15" x14ac:dyDescent="0.25">
      <c r="B14" t="s">
        <v>257</v>
      </c>
      <c r="C14">
        <v>17</v>
      </c>
      <c r="E14" t="s">
        <v>274</v>
      </c>
      <c r="F14">
        <v>27</v>
      </c>
      <c r="H14" s="13" t="s">
        <v>244</v>
      </c>
      <c r="I14" s="15">
        <f>_xlfn.QUARTILE.EXC(C4:C28,3)</f>
        <v>31.5</v>
      </c>
      <c r="J14" s="15">
        <f>_xlfn.QUARTILE.EXC(F4:F28,3)</f>
        <v>29</v>
      </c>
      <c r="N14">
        <v>28</v>
      </c>
      <c r="O14">
        <v>22</v>
      </c>
    </row>
    <row r="15" spans="1:15" x14ac:dyDescent="0.25">
      <c r="B15" t="s">
        <v>258</v>
      </c>
      <c r="C15">
        <v>32</v>
      </c>
      <c r="E15" t="s">
        <v>275</v>
      </c>
      <c r="F15">
        <v>30</v>
      </c>
      <c r="N15">
        <v>28</v>
      </c>
      <c r="O15">
        <v>23</v>
      </c>
    </row>
    <row r="16" spans="1:15" x14ac:dyDescent="0.25">
      <c r="B16" t="s">
        <v>259</v>
      </c>
      <c r="C16">
        <v>31</v>
      </c>
      <c r="E16" t="s">
        <v>276</v>
      </c>
      <c r="F16">
        <v>17</v>
      </c>
      <c r="N16" s="62">
        <v>29</v>
      </c>
      <c r="O16" s="62">
        <v>23</v>
      </c>
    </row>
    <row r="17" spans="2:15" x14ac:dyDescent="0.25">
      <c r="B17" t="s">
        <v>260</v>
      </c>
      <c r="C17">
        <v>27</v>
      </c>
      <c r="E17" t="s">
        <v>277</v>
      </c>
      <c r="F17">
        <v>30</v>
      </c>
      <c r="N17">
        <v>29</v>
      </c>
      <c r="O17">
        <v>24</v>
      </c>
    </row>
    <row r="18" spans="2:15" x14ac:dyDescent="0.25">
      <c r="B18" t="s">
        <v>261</v>
      </c>
      <c r="C18">
        <v>31</v>
      </c>
      <c r="E18" t="s">
        <v>278</v>
      </c>
      <c r="F18">
        <v>21</v>
      </c>
      <c r="N18">
        <v>30</v>
      </c>
      <c r="O18">
        <v>24</v>
      </c>
    </row>
    <row r="19" spans="2:15" x14ac:dyDescent="0.25">
      <c r="B19" t="s">
        <v>262</v>
      </c>
      <c r="C19">
        <v>28</v>
      </c>
      <c r="E19" t="s">
        <v>279</v>
      </c>
      <c r="F19">
        <v>23</v>
      </c>
      <c r="N19">
        <v>30</v>
      </c>
      <c r="O19">
        <v>24</v>
      </c>
    </row>
    <row r="20" spans="2:15" x14ac:dyDescent="0.25">
      <c r="B20" t="s">
        <v>263</v>
      </c>
      <c r="C20">
        <v>28</v>
      </c>
      <c r="E20" t="s">
        <v>280</v>
      </c>
      <c r="F20">
        <v>22</v>
      </c>
      <c r="N20">
        <v>31</v>
      </c>
      <c r="O20">
        <v>25</v>
      </c>
    </row>
    <row r="21" spans="2:15" x14ac:dyDescent="0.25">
      <c r="B21" t="s">
        <v>285</v>
      </c>
      <c r="C21">
        <v>31</v>
      </c>
      <c r="E21" t="s">
        <v>293</v>
      </c>
      <c r="F21">
        <v>25</v>
      </c>
      <c r="N21">
        <v>31</v>
      </c>
      <c r="O21">
        <v>27</v>
      </c>
    </row>
    <row r="22" spans="2:15" x14ac:dyDescent="0.25">
      <c r="B22" t="s">
        <v>286</v>
      </c>
      <c r="C22">
        <v>32</v>
      </c>
      <c r="E22" t="s">
        <v>294</v>
      </c>
      <c r="F22">
        <v>24</v>
      </c>
      <c r="N22" s="63">
        <v>31</v>
      </c>
      <c r="O22" s="63">
        <v>29</v>
      </c>
    </row>
    <row r="23" spans="2:15" x14ac:dyDescent="0.25">
      <c r="B23" t="s">
        <v>287</v>
      </c>
      <c r="C23">
        <v>35</v>
      </c>
      <c r="E23" t="s">
        <v>295</v>
      </c>
      <c r="F23">
        <v>31</v>
      </c>
      <c r="N23" s="63">
        <v>32</v>
      </c>
      <c r="O23" s="63">
        <v>29</v>
      </c>
    </row>
    <row r="24" spans="2:15" x14ac:dyDescent="0.25">
      <c r="B24" t="s">
        <v>288</v>
      </c>
      <c r="C24">
        <v>30</v>
      </c>
      <c r="E24" t="s">
        <v>296</v>
      </c>
      <c r="F24">
        <v>19</v>
      </c>
      <c r="N24">
        <v>32</v>
      </c>
      <c r="O24">
        <v>30</v>
      </c>
    </row>
    <row r="25" spans="2:15" x14ac:dyDescent="0.25">
      <c r="B25" t="s">
        <v>289</v>
      </c>
      <c r="C25">
        <v>34</v>
      </c>
      <c r="E25" t="s">
        <v>297</v>
      </c>
      <c r="F25">
        <v>22</v>
      </c>
      <c r="N25">
        <v>34</v>
      </c>
      <c r="O25">
        <v>30</v>
      </c>
    </row>
    <row r="26" spans="2:15" x14ac:dyDescent="0.25">
      <c r="B26" t="s">
        <v>290</v>
      </c>
      <c r="C26">
        <v>22</v>
      </c>
      <c r="E26" t="s">
        <v>298</v>
      </c>
      <c r="F26">
        <v>18</v>
      </c>
      <c r="N26">
        <v>34</v>
      </c>
      <c r="O26">
        <v>31</v>
      </c>
    </row>
    <row r="27" spans="2:15" x14ac:dyDescent="0.25">
      <c r="B27" t="s">
        <v>291</v>
      </c>
      <c r="C27">
        <v>27</v>
      </c>
      <c r="E27" t="s">
        <v>299</v>
      </c>
      <c r="F27">
        <v>31</v>
      </c>
      <c r="N27">
        <v>34</v>
      </c>
      <c r="O27">
        <v>31</v>
      </c>
    </row>
    <row r="28" spans="2:15" x14ac:dyDescent="0.25">
      <c r="B28" t="s">
        <v>292</v>
      </c>
      <c r="C28">
        <v>25</v>
      </c>
      <c r="E28" t="s">
        <v>300</v>
      </c>
      <c r="F28">
        <v>19</v>
      </c>
      <c r="N28">
        <v>35</v>
      </c>
      <c r="O28">
        <v>31</v>
      </c>
    </row>
  </sheetData>
  <sortState xmlns:xlrd2="http://schemas.microsoft.com/office/spreadsheetml/2017/richdata2" ref="O4:O28">
    <sortCondition ref="O4:O28"/>
  </sortState>
  <mergeCells count="2">
    <mergeCell ref="B2:C2"/>
    <mergeCell ref="E2:F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DA336-7792-4BF4-9BF0-128CFE02B0A1}">
  <sheetPr codeName="Sheet18"/>
  <dimension ref="A1:P51"/>
  <sheetViews>
    <sheetView topLeftCell="G1" zoomScale="80" zoomScaleNormal="80" workbookViewId="0">
      <selection activeCell="O14" sqref="O14"/>
    </sheetView>
  </sheetViews>
  <sheetFormatPr defaultRowHeight="15" x14ac:dyDescent="0.25"/>
  <cols>
    <col min="2" max="2" width="12.7109375" bestFit="1" customWidth="1"/>
    <col min="3" max="3" width="19.140625" bestFit="1" customWidth="1"/>
    <col min="14" max="14" width="12.140625" bestFit="1" customWidth="1"/>
    <col min="15" max="15" width="14.5703125" bestFit="1" customWidth="1"/>
    <col min="16" max="16" width="11.42578125" bestFit="1" customWidth="1"/>
  </cols>
  <sheetData>
    <row r="1" spans="1:16" x14ac:dyDescent="0.25">
      <c r="A1" s="20" t="s">
        <v>303</v>
      </c>
      <c r="B1" s="20" t="s">
        <v>304</v>
      </c>
      <c r="C1" s="20" t="s">
        <v>246</v>
      </c>
      <c r="D1" s="20" t="s">
        <v>204</v>
      </c>
    </row>
    <row r="2" spans="1:16" x14ac:dyDescent="0.25">
      <c r="A2">
        <v>1</v>
      </c>
      <c r="B2" t="s">
        <v>245</v>
      </c>
      <c r="C2" t="s">
        <v>247</v>
      </c>
      <c r="D2">
        <v>34</v>
      </c>
    </row>
    <row r="3" spans="1:16" x14ac:dyDescent="0.25">
      <c r="A3">
        <f>A2+1</f>
        <v>2</v>
      </c>
      <c r="B3" t="s">
        <v>245</v>
      </c>
      <c r="C3" t="s">
        <v>248</v>
      </c>
      <c r="D3">
        <v>23</v>
      </c>
      <c r="O3" t="s">
        <v>245</v>
      </c>
      <c r="P3" t="s">
        <v>264</v>
      </c>
    </row>
    <row r="4" spans="1:16" x14ac:dyDescent="0.25">
      <c r="A4">
        <f t="shared" ref="A4:A51" si="0">A3+1</f>
        <v>3</v>
      </c>
      <c r="B4" t="s">
        <v>245</v>
      </c>
      <c r="C4" t="s">
        <v>249</v>
      </c>
      <c r="D4">
        <v>34</v>
      </c>
      <c r="N4" t="s">
        <v>282</v>
      </c>
      <c r="O4">
        <v>27.84</v>
      </c>
      <c r="P4">
        <v>24.24</v>
      </c>
    </row>
    <row r="5" spans="1:16" x14ac:dyDescent="0.25">
      <c r="A5">
        <f t="shared" si="0"/>
        <v>4</v>
      </c>
      <c r="B5" t="s">
        <v>245</v>
      </c>
      <c r="C5" t="s">
        <v>250</v>
      </c>
      <c r="D5">
        <v>25</v>
      </c>
      <c r="N5" t="s">
        <v>283</v>
      </c>
      <c r="O5">
        <v>16</v>
      </c>
      <c r="P5">
        <v>17</v>
      </c>
    </row>
    <row r="6" spans="1:16" x14ac:dyDescent="0.25">
      <c r="A6">
        <f t="shared" si="0"/>
        <v>5</v>
      </c>
      <c r="B6" t="s">
        <v>245</v>
      </c>
      <c r="C6" t="s">
        <v>251</v>
      </c>
      <c r="D6">
        <v>26</v>
      </c>
      <c r="N6" t="s">
        <v>243</v>
      </c>
      <c r="O6">
        <v>25</v>
      </c>
      <c r="P6">
        <v>21.5</v>
      </c>
    </row>
    <row r="7" spans="1:16" x14ac:dyDescent="0.25">
      <c r="A7">
        <f t="shared" si="0"/>
        <v>6</v>
      </c>
      <c r="B7" t="s">
        <v>245</v>
      </c>
      <c r="C7" t="s">
        <v>252</v>
      </c>
      <c r="D7">
        <v>29</v>
      </c>
      <c r="N7" t="s">
        <v>301</v>
      </c>
      <c r="O7">
        <v>29</v>
      </c>
      <c r="P7">
        <v>23</v>
      </c>
    </row>
    <row r="8" spans="1:16" x14ac:dyDescent="0.25">
      <c r="A8">
        <f t="shared" si="0"/>
        <v>7</v>
      </c>
      <c r="B8" t="s">
        <v>245</v>
      </c>
      <c r="C8" t="s">
        <v>253</v>
      </c>
      <c r="D8">
        <v>29</v>
      </c>
      <c r="N8" t="s">
        <v>244</v>
      </c>
      <c r="O8">
        <v>31.5</v>
      </c>
      <c r="P8">
        <v>29</v>
      </c>
    </row>
    <row r="9" spans="1:16" x14ac:dyDescent="0.25">
      <c r="A9">
        <f t="shared" si="0"/>
        <v>8</v>
      </c>
      <c r="B9" t="s">
        <v>245</v>
      </c>
      <c r="C9" t="s">
        <v>254</v>
      </c>
      <c r="D9">
        <v>20</v>
      </c>
      <c r="N9" t="s">
        <v>284</v>
      </c>
      <c r="O9">
        <v>35</v>
      </c>
      <c r="P9">
        <v>31</v>
      </c>
    </row>
    <row r="10" spans="1:16" x14ac:dyDescent="0.25">
      <c r="A10">
        <f t="shared" si="0"/>
        <v>9</v>
      </c>
      <c r="B10" t="s">
        <v>245</v>
      </c>
      <c r="C10" t="s">
        <v>255</v>
      </c>
      <c r="D10">
        <v>16</v>
      </c>
    </row>
    <row r="11" spans="1:16" x14ac:dyDescent="0.25">
      <c r="A11">
        <f t="shared" si="0"/>
        <v>10</v>
      </c>
      <c r="B11" t="s">
        <v>245</v>
      </c>
      <c r="C11" t="s">
        <v>256</v>
      </c>
      <c r="D11">
        <v>30</v>
      </c>
    </row>
    <row r="12" spans="1:16" x14ac:dyDescent="0.25">
      <c r="A12">
        <f t="shared" si="0"/>
        <v>11</v>
      </c>
      <c r="B12" t="s">
        <v>245</v>
      </c>
      <c r="C12" t="s">
        <v>257</v>
      </c>
      <c r="D12">
        <v>17</v>
      </c>
    </row>
    <row r="13" spans="1:16" x14ac:dyDescent="0.25">
      <c r="A13">
        <f t="shared" si="0"/>
        <v>12</v>
      </c>
      <c r="B13" t="s">
        <v>245</v>
      </c>
      <c r="C13" t="s">
        <v>258</v>
      </c>
      <c r="D13">
        <v>32</v>
      </c>
    </row>
    <row r="14" spans="1:16" x14ac:dyDescent="0.25">
      <c r="A14">
        <f t="shared" si="0"/>
        <v>13</v>
      </c>
      <c r="B14" t="s">
        <v>245</v>
      </c>
      <c r="C14" t="s">
        <v>259</v>
      </c>
      <c r="D14">
        <v>31</v>
      </c>
    </row>
    <row r="15" spans="1:16" x14ac:dyDescent="0.25">
      <c r="A15">
        <f t="shared" si="0"/>
        <v>14</v>
      </c>
      <c r="B15" t="s">
        <v>245</v>
      </c>
      <c r="C15" t="s">
        <v>260</v>
      </c>
      <c r="D15">
        <v>27</v>
      </c>
    </row>
    <row r="16" spans="1:16" x14ac:dyDescent="0.25">
      <c r="A16">
        <f t="shared" si="0"/>
        <v>15</v>
      </c>
      <c r="B16" t="s">
        <v>245</v>
      </c>
      <c r="C16" t="s">
        <v>261</v>
      </c>
      <c r="D16">
        <v>31</v>
      </c>
    </row>
    <row r="17" spans="1:4" x14ac:dyDescent="0.25">
      <c r="A17">
        <f t="shared" si="0"/>
        <v>16</v>
      </c>
      <c r="B17" t="s">
        <v>245</v>
      </c>
      <c r="C17" t="s">
        <v>262</v>
      </c>
      <c r="D17">
        <v>28</v>
      </c>
    </row>
    <row r="18" spans="1:4" x14ac:dyDescent="0.25">
      <c r="A18">
        <f t="shared" si="0"/>
        <v>17</v>
      </c>
      <c r="B18" t="s">
        <v>245</v>
      </c>
      <c r="C18" t="s">
        <v>263</v>
      </c>
      <c r="D18">
        <v>28</v>
      </c>
    </row>
    <row r="19" spans="1:4" x14ac:dyDescent="0.25">
      <c r="A19">
        <f t="shared" si="0"/>
        <v>18</v>
      </c>
      <c r="B19" t="s">
        <v>245</v>
      </c>
      <c r="C19" t="s">
        <v>285</v>
      </c>
      <c r="D19">
        <v>31</v>
      </c>
    </row>
    <row r="20" spans="1:4" x14ac:dyDescent="0.25">
      <c r="A20">
        <f t="shared" si="0"/>
        <v>19</v>
      </c>
      <c r="B20" t="s">
        <v>245</v>
      </c>
      <c r="C20" t="s">
        <v>286</v>
      </c>
      <c r="D20">
        <v>32</v>
      </c>
    </row>
    <row r="21" spans="1:4" x14ac:dyDescent="0.25">
      <c r="A21">
        <f t="shared" si="0"/>
        <v>20</v>
      </c>
      <c r="B21" t="s">
        <v>245</v>
      </c>
      <c r="C21" t="s">
        <v>287</v>
      </c>
      <c r="D21">
        <v>35</v>
      </c>
    </row>
    <row r="22" spans="1:4" x14ac:dyDescent="0.25">
      <c r="A22">
        <f t="shared" si="0"/>
        <v>21</v>
      </c>
      <c r="B22" t="s">
        <v>245</v>
      </c>
      <c r="C22" t="s">
        <v>288</v>
      </c>
      <c r="D22">
        <v>30</v>
      </c>
    </row>
    <row r="23" spans="1:4" x14ac:dyDescent="0.25">
      <c r="A23">
        <f t="shared" si="0"/>
        <v>22</v>
      </c>
      <c r="B23" t="s">
        <v>245</v>
      </c>
      <c r="C23" t="s">
        <v>289</v>
      </c>
      <c r="D23">
        <v>34</v>
      </c>
    </row>
    <row r="24" spans="1:4" x14ac:dyDescent="0.25">
      <c r="A24">
        <f t="shared" si="0"/>
        <v>23</v>
      </c>
      <c r="B24" t="s">
        <v>245</v>
      </c>
      <c r="C24" t="s">
        <v>290</v>
      </c>
      <c r="D24">
        <v>22</v>
      </c>
    </row>
    <row r="25" spans="1:4" x14ac:dyDescent="0.25">
      <c r="A25">
        <f t="shared" si="0"/>
        <v>24</v>
      </c>
      <c r="B25" t="s">
        <v>245</v>
      </c>
      <c r="C25" t="s">
        <v>291</v>
      </c>
      <c r="D25">
        <v>27</v>
      </c>
    </row>
    <row r="26" spans="1:4" x14ac:dyDescent="0.25">
      <c r="A26">
        <f t="shared" si="0"/>
        <v>25</v>
      </c>
      <c r="B26" t="s">
        <v>245</v>
      </c>
      <c r="C26" t="s">
        <v>292</v>
      </c>
      <c r="D26">
        <v>25</v>
      </c>
    </row>
    <row r="27" spans="1:4" x14ac:dyDescent="0.25">
      <c r="A27">
        <f t="shared" si="0"/>
        <v>26</v>
      </c>
      <c r="B27" t="s">
        <v>264</v>
      </c>
      <c r="C27" t="s">
        <v>265</v>
      </c>
      <c r="D27">
        <v>23</v>
      </c>
    </row>
    <row r="28" spans="1:4" x14ac:dyDescent="0.25">
      <c r="A28">
        <f t="shared" si="0"/>
        <v>27</v>
      </c>
      <c r="B28" t="s">
        <v>264</v>
      </c>
      <c r="C28" t="s">
        <v>266</v>
      </c>
      <c r="D28">
        <v>24</v>
      </c>
    </row>
    <row r="29" spans="1:4" x14ac:dyDescent="0.25">
      <c r="A29">
        <f t="shared" si="0"/>
        <v>28</v>
      </c>
      <c r="B29" t="s">
        <v>264</v>
      </c>
      <c r="C29" t="s">
        <v>267</v>
      </c>
      <c r="D29">
        <v>24</v>
      </c>
    </row>
    <row r="30" spans="1:4" x14ac:dyDescent="0.25">
      <c r="A30">
        <f t="shared" si="0"/>
        <v>29</v>
      </c>
      <c r="B30" t="s">
        <v>264</v>
      </c>
      <c r="C30" t="s">
        <v>268</v>
      </c>
      <c r="D30">
        <v>21</v>
      </c>
    </row>
    <row r="31" spans="1:4" x14ac:dyDescent="0.25">
      <c r="A31">
        <f t="shared" si="0"/>
        <v>30</v>
      </c>
      <c r="B31" t="s">
        <v>264</v>
      </c>
      <c r="C31" t="s">
        <v>269</v>
      </c>
      <c r="D31">
        <v>22</v>
      </c>
    </row>
    <row r="32" spans="1:4" x14ac:dyDescent="0.25">
      <c r="A32">
        <f t="shared" si="0"/>
        <v>31</v>
      </c>
      <c r="B32" t="s">
        <v>264</v>
      </c>
      <c r="C32" t="s">
        <v>270</v>
      </c>
      <c r="D32">
        <v>31</v>
      </c>
    </row>
    <row r="33" spans="1:4" x14ac:dyDescent="0.25">
      <c r="A33">
        <f t="shared" si="0"/>
        <v>32</v>
      </c>
      <c r="B33" t="s">
        <v>264</v>
      </c>
      <c r="C33" t="s">
        <v>271</v>
      </c>
      <c r="D33">
        <v>22</v>
      </c>
    </row>
    <row r="34" spans="1:4" x14ac:dyDescent="0.25">
      <c r="A34">
        <f t="shared" si="0"/>
        <v>33</v>
      </c>
      <c r="B34" t="s">
        <v>264</v>
      </c>
      <c r="C34" t="s">
        <v>281</v>
      </c>
      <c r="D34">
        <v>29</v>
      </c>
    </row>
    <row r="35" spans="1:4" x14ac:dyDescent="0.25">
      <c r="A35">
        <f t="shared" si="0"/>
        <v>34</v>
      </c>
      <c r="B35" t="s">
        <v>264</v>
      </c>
      <c r="C35" t="s">
        <v>272</v>
      </c>
      <c r="D35">
        <v>22</v>
      </c>
    </row>
    <row r="36" spans="1:4" x14ac:dyDescent="0.25">
      <c r="A36">
        <f t="shared" si="0"/>
        <v>35</v>
      </c>
      <c r="B36" t="s">
        <v>264</v>
      </c>
      <c r="C36" t="s">
        <v>273</v>
      </c>
      <c r="D36">
        <v>29</v>
      </c>
    </row>
    <row r="37" spans="1:4" x14ac:dyDescent="0.25">
      <c r="A37">
        <f t="shared" si="0"/>
        <v>36</v>
      </c>
      <c r="B37" t="s">
        <v>264</v>
      </c>
      <c r="C37" t="s">
        <v>274</v>
      </c>
      <c r="D37">
        <v>27</v>
      </c>
    </row>
    <row r="38" spans="1:4" x14ac:dyDescent="0.25">
      <c r="A38">
        <f t="shared" si="0"/>
        <v>37</v>
      </c>
      <c r="B38" t="s">
        <v>264</v>
      </c>
      <c r="C38" t="s">
        <v>275</v>
      </c>
      <c r="D38">
        <v>30</v>
      </c>
    </row>
    <row r="39" spans="1:4" x14ac:dyDescent="0.25">
      <c r="A39">
        <f t="shared" si="0"/>
        <v>38</v>
      </c>
      <c r="B39" t="s">
        <v>264</v>
      </c>
      <c r="C39" t="s">
        <v>276</v>
      </c>
      <c r="D39">
        <v>17</v>
      </c>
    </row>
    <row r="40" spans="1:4" x14ac:dyDescent="0.25">
      <c r="A40">
        <f t="shared" si="0"/>
        <v>39</v>
      </c>
      <c r="B40" t="s">
        <v>264</v>
      </c>
      <c r="C40" t="s">
        <v>277</v>
      </c>
      <c r="D40">
        <v>30</v>
      </c>
    </row>
    <row r="41" spans="1:4" x14ac:dyDescent="0.25">
      <c r="A41">
        <f t="shared" si="0"/>
        <v>40</v>
      </c>
      <c r="B41" t="s">
        <v>264</v>
      </c>
      <c r="C41" t="s">
        <v>278</v>
      </c>
      <c r="D41">
        <v>21</v>
      </c>
    </row>
    <row r="42" spans="1:4" x14ac:dyDescent="0.25">
      <c r="A42">
        <f t="shared" si="0"/>
        <v>41</v>
      </c>
      <c r="B42" t="s">
        <v>264</v>
      </c>
      <c r="C42" t="s">
        <v>279</v>
      </c>
      <c r="D42">
        <v>23</v>
      </c>
    </row>
    <row r="43" spans="1:4" x14ac:dyDescent="0.25">
      <c r="A43">
        <f t="shared" si="0"/>
        <v>42</v>
      </c>
      <c r="B43" t="s">
        <v>264</v>
      </c>
      <c r="C43" t="s">
        <v>280</v>
      </c>
      <c r="D43">
        <v>22</v>
      </c>
    </row>
    <row r="44" spans="1:4" x14ac:dyDescent="0.25">
      <c r="A44">
        <f t="shared" si="0"/>
        <v>43</v>
      </c>
      <c r="B44" t="s">
        <v>264</v>
      </c>
      <c r="C44" t="s">
        <v>293</v>
      </c>
      <c r="D44">
        <v>25</v>
      </c>
    </row>
    <row r="45" spans="1:4" x14ac:dyDescent="0.25">
      <c r="A45">
        <f t="shared" si="0"/>
        <v>44</v>
      </c>
      <c r="B45" t="s">
        <v>264</v>
      </c>
      <c r="C45" t="s">
        <v>294</v>
      </c>
      <c r="D45">
        <v>24</v>
      </c>
    </row>
    <row r="46" spans="1:4" x14ac:dyDescent="0.25">
      <c r="A46">
        <f t="shared" si="0"/>
        <v>45</v>
      </c>
      <c r="B46" t="s">
        <v>264</v>
      </c>
      <c r="C46" t="s">
        <v>295</v>
      </c>
      <c r="D46">
        <v>31</v>
      </c>
    </row>
    <row r="47" spans="1:4" x14ac:dyDescent="0.25">
      <c r="A47">
        <f t="shared" si="0"/>
        <v>46</v>
      </c>
      <c r="B47" t="s">
        <v>264</v>
      </c>
      <c r="C47" t="s">
        <v>296</v>
      </c>
      <c r="D47">
        <v>19</v>
      </c>
    </row>
    <row r="48" spans="1:4" x14ac:dyDescent="0.25">
      <c r="A48">
        <f t="shared" si="0"/>
        <v>47</v>
      </c>
      <c r="B48" t="s">
        <v>264</v>
      </c>
      <c r="C48" t="s">
        <v>297</v>
      </c>
      <c r="D48">
        <v>22</v>
      </c>
    </row>
    <row r="49" spans="1:4" x14ac:dyDescent="0.25">
      <c r="A49">
        <f t="shared" si="0"/>
        <v>48</v>
      </c>
      <c r="B49" t="s">
        <v>264</v>
      </c>
      <c r="C49" t="s">
        <v>298</v>
      </c>
      <c r="D49">
        <v>18</v>
      </c>
    </row>
    <row r="50" spans="1:4" x14ac:dyDescent="0.25">
      <c r="A50">
        <f t="shared" si="0"/>
        <v>49</v>
      </c>
      <c r="B50" t="s">
        <v>264</v>
      </c>
      <c r="C50" t="s">
        <v>299</v>
      </c>
      <c r="D50">
        <v>31</v>
      </c>
    </row>
    <row r="51" spans="1:4" x14ac:dyDescent="0.25">
      <c r="A51">
        <f t="shared" si="0"/>
        <v>50</v>
      </c>
      <c r="B51" t="s">
        <v>264</v>
      </c>
      <c r="C51" t="s">
        <v>300</v>
      </c>
      <c r="D51">
        <v>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66C66-86C5-4262-8659-2046D66D11DE}">
  <sheetPr codeName="Sheet19"/>
  <dimension ref="A1:E26"/>
  <sheetViews>
    <sheetView topLeftCell="E1" workbookViewId="0">
      <selection activeCell="F15" sqref="F15"/>
    </sheetView>
  </sheetViews>
  <sheetFormatPr defaultRowHeight="15" x14ac:dyDescent="0.25"/>
  <cols>
    <col min="1" max="1" width="6.28515625" bestFit="1" customWidth="1"/>
    <col min="2" max="2" width="21.7109375" bestFit="1" customWidth="1"/>
    <col min="3" max="3" width="16" bestFit="1" customWidth="1"/>
    <col min="4" max="4" width="16.85546875" bestFit="1" customWidth="1"/>
    <col min="5" max="5" width="17.42578125" bestFit="1" customWidth="1"/>
  </cols>
  <sheetData>
    <row r="1" spans="1:5" x14ac:dyDescent="0.25">
      <c r="A1" s="44" t="s">
        <v>303</v>
      </c>
      <c r="B1" s="44" t="s">
        <v>37</v>
      </c>
      <c r="C1" s="44" t="s">
        <v>38</v>
      </c>
      <c r="D1" s="44" t="s">
        <v>39</v>
      </c>
      <c r="E1" s="44" t="s">
        <v>41</v>
      </c>
    </row>
    <row r="2" spans="1:5" x14ac:dyDescent="0.25">
      <c r="A2" s="14">
        <v>1</v>
      </c>
      <c r="B2" s="15" t="s">
        <v>43</v>
      </c>
      <c r="C2" s="15" t="s">
        <v>44</v>
      </c>
      <c r="D2" s="15" t="s">
        <v>45</v>
      </c>
      <c r="E2" s="17">
        <v>10500</v>
      </c>
    </row>
    <row r="3" spans="1:5" x14ac:dyDescent="0.25">
      <c r="A3" s="14">
        <v>2</v>
      </c>
      <c r="B3" s="15" t="s">
        <v>46</v>
      </c>
      <c r="C3" s="15" t="s">
        <v>47</v>
      </c>
      <c r="D3" s="15" t="s">
        <v>45</v>
      </c>
      <c r="E3" s="17">
        <v>9800</v>
      </c>
    </row>
    <row r="4" spans="1:5" x14ac:dyDescent="0.25">
      <c r="A4" s="14">
        <v>3</v>
      </c>
      <c r="B4" s="15" t="s">
        <v>48</v>
      </c>
      <c r="C4" s="15" t="s">
        <v>49</v>
      </c>
      <c r="D4" s="15" t="s">
        <v>45</v>
      </c>
      <c r="E4" s="17">
        <v>10200</v>
      </c>
    </row>
    <row r="5" spans="1:5" x14ac:dyDescent="0.25">
      <c r="A5" s="14">
        <v>4</v>
      </c>
      <c r="B5" s="15" t="s">
        <v>50</v>
      </c>
      <c r="C5" s="15" t="s">
        <v>44</v>
      </c>
      <c r="D5" s="15" t="s">
        <v>45</v>
      </c>
      <c r="E5" s="17">
        <v>8500</v>
      </c>
    </row>
    <row r="6" spans="1:5" x14ac:dyDescent="0.25">
      <c r="A6" s="14">
        <v>5</v>
      </c>
      <c r="B6" s="15" t="s">
        <v>51</v>
      </c>
      <c r="C6" s="15" t="s">
        <v>44</v>
      </c>
      <c r="D6" s="15" t="s">
        <v>52</v>
      </c>
      <c r="E6" s="17">
        <v>7100</v>
      </c>
    </row>
    <row r="7" spans="1:5" x14ac:dyDescent="0.25">
      <c r="A7" s="14">
        <v>6</v>
      </c>
      <c r="B7" s="15" t="s">
        <v>53</v>
      </c>
      <c r="C7" s="15" t="s">
        <v>49</v>
      </c>
      <c r="D7" s="15" t="s">
        <v>45</v>
      </c>
      <c r="E7" s="17">
        <v>8700</v>
      </c>
    </row>
    <row r="8" spans="1:5" x14ac:dyDescent="0.25">
      <c r="A8" s="14">
        <v>7</v>
      </c>
      <c r="B8" s="15" t="s">
        <v>54</v>
      </c>
      <c r="C8" s="15" t="s">
        <v>55</v>
      </c>
      <c r="D8" s="15" t="s">
        <v>45</v>
      </c>
      <c r="E8" s="17">
        <v>6600</v>
      </c>
    </row>
    <row r="9" spans="1:5" x14ac:dyDescent="0.25">
      <c r="A9" s="14">
        <v>8</v>
      </c>
      <c r="B9" s="15" t="s">
        <v>56</v>
      </c>
      <c r="C9" s="15" t="s">
        <v>49</v>
      </c>
      <c r="D9" s="15" t="s">
        <v>45</v>
      </c>
      <c r="E9" s="17">
        <v>6600</v>
      </c>
    </row>
    <row r="10" spans="1:5" x14ac:dyDescent="0.25">
      <c r="A10" s="14">
        <v>9</v>
      </c>
      <c r="B10" s="15" t="s">
        <v>57</v>
      </c>
      <c r="C10" s="15" t="s">
        <v>55</v>
      </c>
      <c r="D10" s="15" t="s">
        <v>52</v>
      </c>
      <c r="E10" s="17">
        <v>6400</v>
      </c>
    </row>
    <row r="11" spans="1:5" x14ac:dyDescent="0.25">
      <c r="A11" s="14">
        <v>10</v>
      </c>
      <c r="B11" s="15" t="s">
        <v>58</v>
      </c>
      <c r="C11" s="15" t="s">
        <v>49</v>
      </c>
      <c r="D11" s="15" t="s">
        <v>45</v>
      </c>
      <c r="E11" s="17">
        <v>7300</v>
      </c>
    </row>
    <row r="12" spans="1:5" x14ac:dyDescent="0.25">
      <c r="A12" s="14">
        <v>11</v>
      </c>
      <c r="B12" s="15" t="s">
        <v>59</v>
      </c>
      <c r="C12" s="15" t="s">
        <v>55</v>
      </c>
      <c r="D12" s="15" t="s">
        <v>52</v>
      </c>
      <c r="E12" s="17">
        <v>5600</v>
      </c>
    </row>
    <row r="13" spans="1:5" x14ac:dyDescent="0.25">
      <c r="A13" s="14">
        <v>12</v>
      </c>
      <c r="B13" s="15" t="s">
        <v>60</v>
      </c>
      <c r="C13" s="15" t="s">
        <v>44</v>
      </c>
      <c r="D13" s="15" t="s">
        <v>45</v>
      </c>
      <c r="E13" s="17">
        <v>6500</v>
      </c>
    </row>
    <row r="14" spans="1:5" x14ac:dyDescent="0.25">
      <c r="A14" s="14">
        <v>13</v>
      </c>
      <c r="B14" s="15" t="s">
        <v>61</v>
      </c>
      <c r="C14" s="15" t="s">
        <v>44</v>
      </c>
      <c r="D14" s="15" t="s">
        <v>52</v>
      </c>
      <c r="E14" s="17">
        <v>5800</v>
      </c>
    </row>
    <row r="15" spans="1:5" x14ac:dyDescent="0.25">
      <c r="A15" s="14">
        <v>14</v>
      </c>
      <c r="B15" s="15" t="s">
        <v>62</v>
      </c>
      <c r="C15" s="15" t="s">
        <v>47</v>
      </c>
      <c r="D15" s="15" t="s">
        <v>45</v>
      </c>
      <c r="E15" s="17">
        <v>5500</v>
      </c>
    </row>
    <row r="16" spans="1:5" x14ac:dyDescent="0.25">
      <c r="A16" s="14">
        <v>15</v>
      </c>
      <c r="B16" s="15" t="s">
        <v>63</v>
      </c>
      <c r="C16" s="15" t="s">
        <v>47</v>
      </c>
      <c r="D16" s="15" t="s">
        <v>52</v>
      </c>
      <c r="E16" s="17">
        <v>6200</v>
      </c>
    </row>
    <row r="17" spans="1:5" x14ac:dyDescent="0.25">
      <c r="A17" s="14">
        <v>16</v>
      </c>
      <c r="B17" s="15" t="s">
        <v>64</v>
      </c>
      <c r="C17" s="15" t="s">
        <v>65</v>
      </c>
      <c r="D17" s="15" t="s">
        <v>45</v>
      </c>
      <c r="E17" s="17">
        <v>7300</v>
      </c>
    </row>
    <row r="18" spans="1:5" x14ac:dyDescent="0.25">
      <c r="A18" s="14">
        <v>17</v>
      </c>
      <c r="B18" s="15" t="s">
        <v>66</v>
      </c>
      <c r="C18" s="15" t="s">
        <v>44</v>
      </c>
      <c r="D18" s="15" t="s">
        <v>45</v>
      </c>
      <c r="E18" s="17">
        <v>6700</v>
      </c>
    </row>
    <row r="19" spans="1:5" x14ac:dyDescent="0.25">
      <c r="A19" s="14">
        <v>18</v>
      </c>
      <c r="B19" s="15" t="s">
        <v>67</v>
      </c>
      <c r="C19" s="15" t="s">
        <v>47</v>
      </c>
      <c r="D19" s="15" t="s">
        <v>52</v>
      </c>
      <c r="E19" s="17">
        <v>5200</v>
      </c>
    </row>
    <row r="20" spans="1:5" x14ac:dyDescent="0.25">
      <c r="A20" s="14">
        <v>19</v>
      </c>
      <c r="B20" s="15" t="s">
        <v>68</v>
      </c>
      <c r="C20" s="15" t="s">
        <v>44</v>
      </c>
      <c r="D20" s="15" t="s">
        <v>45</v>
      </c>
      <c r="E20" s="17">
        <v>5800</v>
      </c>
    </row>
    <row r="21" spans="1:5" x14ac:dyDescent="0.25">
      <c r="A21" s="14">
        <v>20</v>
      </c>
      <c r="B21" s="15" t="s">
        <v>69</v>
      </c>
      <c r="C21" s="15" t="s">
        <v>65</v>
      </c>
      <c r="D21" s="15" t="s">
        <v>45</v>
      </c>
      <c r="E21" s="17">
        <v>5900</v>
      </c>
    </row>
    <row r="22" spans="1:5" x14ac:dyDescent="0.25">
      <c r="A22" s="14">
        <v>21</v>
      </c>
      <c r="B22" s="15" t="s">
        <v>70</v>
      </c>
      <c r="C22" s="15" t="s">
        <v>44</v>
      </c>
      <c r="D22" s="15" t="s">
        <v>52</v>
      </c>
      <c r="E22" s="17">
        <v>5400</v>
      </c>
    </row>
    <row r="23" spans="1:5" x14ac:dyDescent="0.25">
      <c r="A23" s="14">
        <v>22</v>
      </c>
      <c r="B23" s="15" t="s">
        <v>71</v>
      </c>
      <c r="C23" s="15" t="s">
        <v>55</v>
      </c>
      <c r="D23" s="15" t="s">
        <v>45</v>
      </c>
      <c r="E23" s="17">
        <v>5600</v>
      </c>
    </row>
    <row r="24" spans="1:5" x14ac:dyDescent="0.25">
      <c r="A24" s="14">
        <v>23</v>
      </c>
      <c r="B24" s="15" t="s">
        <v>72</v>
      </c>
      <c r="C24" s="15" t="s">
        <v>65</v>
      </c>
      <c r="D24" s="15" t="s">
        <v>45</v>
      </c>
      <c r="E24" s="17">
        <v>6400</v>
      </c>
    </row>
    <row r="25" spans="1:5" x14ac:dyDescent="0.25">
      <c r="A25" s="14">
        <v>24</v>
      </c>
      <c r="B25" s="15" t="s">
        <v>73</v>
      </c>
      <c r="C25" s="15" t="s">
        <v>55</v>
      </c>
      <c r="D25" s="15" t="s">
        <v>52</v>
      </c>
      <c r="E25" s="17">
        <v>5600</v>
      </c>
    </row>
    <row r="26" spans="1:5" x14ac:dyDescent="0.25">
      <c r="A26" s="14">
        <v>25</v>
      </c>
      <c r="B26" s="15" t="s">
        <v>74</v>
      </c>
      <c r="C26" s="15" t="s">
        <v>55</v>
      </c>
      <c r="D26" s="15" t="s">
        <v>52</v>
      </c>
      <c r="E26" s="17">
        <v>5600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1AF60-6958-4DA0-ACDE-38258D2C7969}">
  <sheetPr codeName="Sheet20"/>
  <dimension ref="A1:F18"/>
  <sheetViews>
    <sheetView workbookViewId="0">
      <selection activeCell="C21" sqref="C21"/>
    </sheetView>
  </sheetViews>
  <sheetFormatPr defaultRowHeight="15" x14ac:dyDescent="0.25"/>
  <cols>
    <col min="1" max="1" width="14.7109375" customWidth="1"/>
    <col min="2" max="2" width="10.42578125" bestFit="1" customWidth="1"/>
    <col min="3" max="3" width="15.140625" bestFit="1" customWidth="1"/>
  </cols>
  <sheetData>
    <row r="1" spans="1:6" x14ac:dyDescent="0.25">
      <c r="A1" s="2" t="s">
        <v>305</v>
      </c>
    </row>
    <row r="3" spans="1:6" x14ac:dyDescent="0.25">
      <c r="A3" s="46" t="s">
        <v>306</v>
      </c>
      <c r="B3" s="46" t="s">
        <v>7</v>
      </c>
      <c r="C3" s="46" t="s">
        <v>307</v>
      </c>
    </row>
    <row r="4" spans="1:6" x14ac:dyDescent="0.25">
      <c r="A4" s="15" t="s">
        <v>308</v>
      </c>
      <c r="B4" s="15" t="s">
        <v>226</v>
      </c>
      <c r="C4" s="17">
        <v>1832875</v>
      </c>
      <c r="F4" t="s">
        <v>7</v>
      </c>
    </row>
    <row r="5" spans="1:6" x14ac:dyDescent="0.25">
      <c r="A5" s="15" t="s">
        <v>308</v>
      </c>
      <c r="B5" s="15" t="s">
        <v>227</v>
      </c>
      <c r="C5" s="17">
        <v>1849608</v>
      </c>
      <c r="F5" t="s">
        <v>311</v>
      </c>
    </row>
    <row r="6" spans="1:6" x14ac:dyDescent="0.25">
      <c r="A6" s="15" t="s">
        <v>308</v>
      </c>
      <c r="B6" s="15" t="s">
        <v>228</v>
      </c>
      <c r="C6" s="17">
        <v>1361241</v>
      </c>
      <c r="F6" t="s">
        <v>312</v>
      </c>
    </row>
    <row r="7" spans="1:6" x14ac:dyDescent="0.25">
      <c r="A7" s="15" t="s">
        <v>308</v>
      </c>
      <c r="B7" s="15" t="s">
        <v>229</v>
      </c>
      <c r="C7" s="17">
        <v>1442425</v>
      </c>
    </row>
    <row r="8" spans="1:6" x14ac:dyDescent="0.25">
      <c r="A8" s="15" t="s">
        <v>308</v>
      </c>
      <c r="B8" s="15" t="s">
        <v>88</v>
      </c>
      <c r="C8" s="17">
        <v>1987684</v>
      </c>
    </row>
    <row r="9" spans="1:6" x14ac:dyDescent="0.25">
      <c r="A9" s="15" t="s">
        <v>309</v>
      </c>
      <c r="B9" s="15" t="s">
        <v>226</v>
      </c>
      <c r="C9" s="17">
        <v>1257747</v>
      </c>
    </row>
    <row r="10" spans="1:6" x14ac:dyDescent="0.25">
      <c r="A10" s="15" t="s">
        <v>309</v>
      </c>
      <c r="B10" s="15" t="s">
        <v>227</v>
      </c>
      <c r="C10" s="17">
        <v>2286574</v>
      </c>
    </row>
    <row r="11" spans="1:6" x14ac:dyDescent="0.25">
      <c r="A11" s="15" t="s">
        <v>309</v>
      </c>
      <c r="B11" s="15" t="s">
        <v>228</v>
      </c>
      <c r="C11" s="17">
        <v>1393802</v>
      </c>
    </row>
    <row r="12" spans="1:6" x14ac:dyDescent="0.25">
      <c r="A12" s="15" t="s">
        <v>309</v>
      </c>
      <c r="B12" s="15" t="s">
        <v>229</v>
      </c>
      <c r="C12" s="17">
        <v>1553673</v>
      </c>
    </row>
    <row r="13" spans="1:6" x14ac:dyDescent="0.25">
      <c r="A13" s="15" t="s">
        <v>309</v>
      </c>
      <c r="B13" s="15" t="s">
        <v>88</v>
      </c>
      <c r="C13" s="17">
        <v>1231888</v>
      </c>
    </row>
    <row r="14" spans="1:6" x14ac:dyDescent="0.25">
      <c r="A14" s="15" t="s">
        <v>310</v>
      </c>
      <c r="B14" s="15" t="s">
        <v>226</v>
      </c>
      <c r="C14" s="17">
        <v>1741739</v>
      </c>
    </row>
    <row r="15" spans="1:6" x14ac:dyDescent="0.25">
      <c r="A15" s="15" t="s">
        <v>310</v>
      </c>
      <c r="B15" s="15" t="s">
        <v>227</v>
      </c>
      <c r="C15" s="17">
        <v>2391290</v>
      </c>
    </row>
    <row r="16" spans="1:6" x14ac:dyDescent="0.25">
      <c r="A16" s="15" t="s">
        <v>310</v>
      </c>
      <c r="B16" s="15" t="s">
        <v>228</v>
      </c>
      <c r="C16" s="17">
        <v>1672374</v>
      </c>
    </row>
    <row r="17" spans="1:3" x14ac:dyDescent="0.25">
      <c r="A17" s="15" t="s">
        <v>310</v>
      </c>
      <c r="B17" s="15" t="s">
        <v>229</v>
      </c>
      <c r="C17" s="17">
        <v>1551009</v>
      </c>
    </row>
    <row r="18" spans="1:3" x14ac:dyDescent="0.25">
      <c r="A18" s="15" t="s">
        <v>310</v>
      </c>
      <c r="B18" s="15" t="s">
        <v>88</v>
      </c>
      <c r="C18" s="17">
        <v>1872067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7983-20D8-4951-9B97-B8D40C91CED0}">
  <sheetPr codeName="Sheet21"/>
  <dimension ref="A1:D78"/>
  <sheetViews>
    <sheetView topLeftCell="E7" zoomScale="80" zoomScaleNormal="80" workbookViewId="0">
      <selection activeCell="N27" sqref="N27"/>
    </sheetView>
  </sheetViews>
  <sheetFormatPr defaultRowHeight="15" x14ac:dyDescent="0.25"/>
  <cols>
    <col min="2" max="2" width="10.42578125" bestFit="1" customWidth="1"/>
    <col min="3" max="3" width="14.140625" bestFit="1" customWidth="1"/>
  </cols>
  <sheetData>
    <row r="1" spans="1:4" x14ac:dyDescent="0.25">
      <c r="A1" t="s">
        <v>305</v>
      </c>
    </row>
    <row r="3" spans="1:4" x14ac:dyDescent="0.25">
      <c r="A3" s="46" t="s">
        <v>205</v>
      </c>
      <c r="B3" s="46" t="s">
        <v>7</v>
      </c>
      <c r="C3" s="46" t="s">
        <v>306</v>
      </c>
      <c r="D3" s="46" t="s">
        <v>313</v>
      </c>
    </row>
    <row r="4" spans="1:4" x14ac:dyDescent="0.25">
      <c r="A4" s="15">
        <v>2016</v>
      </c>
      <c r="B4" s="15" t="s">
        <v>226</v>
      </c>
      <c r="C4" s="15" t="s">
        <v>308</v>
      </c>
      <c r="D4" s="17">
        <v>109217</v>
      </c>
    </row>
    <row r="5" spans="1:4" x14ac:dyDescent="0.25">
      <c r="A5" s="15"/>
      <c r="B5" s="15"/>
      <c r="C5" s="15" t="s">
        <v>309</v>
      </c>
      <c r="D5" s="17">
        <v>203721</v>
      </c>
    </row>
    <row r="6" spans="1:4" x14ac:dyDescent="0.25">
      <c r="A6" s="15"/>
      <c r="B6" s="15"/>
      <c r="C6" s="15" t="s">
        <v>310</v>
      </c>
      <c r="D6" s="17">
        <v>428735</v>
      </c>
    </row>
    <row r="7" spans="1:4" x14ac:dyDescent="0.25">
      <c r="A7" s="15"/>
      <c r="B7" s="15" t="s">
        <v>227</v>
      </c>
      <c r="C7" s="15" t="s">
        <v>308</v>
      </c>
      <c r="D7" s="17">
        <v>427414</v>
      </c>
    </row>
    <row r="8" spans="1:4" x14ac:dyDescent="0.25">
      <c r="A8" s="15"/>
      <c r="B8" s="15"/>
      <c r="C8" s="15" t="s">
        <v>309</v>
      </c>
      <c r="D8" s="17">
        <v>522301</v>
      </c>
    </row>
    <row r="9" spans="1:4" x14ac:dyDescent="0.25">
      <c r="A9" s="15"/>
      <c r="B9" s="15"/>
      <c r="C9" s="15" t="s">
        <v>310</v>
      </c>
      <c r="D9" s="17">
        <v>610497</v>
      </c>
    </row>
    <row r="10" spans="1:4" x14ac:dyDescent="0.25">
      <c r="A10" s="15"/>
      <c r="B10" s="15" t="s">
        <v>228</v>
      </c>
      <c r="C10" s="15" t="s">
        <v>308</v>
      </c>
      <c r="D10" s="17">
        <v>595257</v>
      </c>
    </row>
    <row r="11" spans="1:4" x14ac:dyDescent="0.25">
      <c r="A11" s="15"/>
      <c r="B11" s="15"/>
      <c r="C11" s="15" t="s">
        <v>309</v>
      </c>
      <c r="D11" s="17">
        <v>106781</v>
      </c>
    </row>
    <row r="12" spans="1:4" x14ac:dyDescent="0.25">
      <c r="A12" s="15"/>
      <c r="B12" s="15"/>
      <c r="C12" s="15" t="s">
        <v>310</v>
      </c>
      <c r="D12" s="17">
        <v>114081</v>
      </c>
    </row>
    <row r="13" spans="1:4" x14ac:dyDescent="0.25">
      <c r="A13" s="15"/>
      <c r="B13" s="15" t="s">
        <v>229</v>
      </c>
      <c r="C13" s="15" t="s">
        <v>308</v>
      </c>
      <c r="D13" s="17">
        <v>197330</v>
      </c>
    </row>
    <row r="14" spans="1:4" x14ac:dyDescent="0.25">
      <c r="A14" s="15"/>
      <c r="B14" s="15"/>
      <c r="C14" s="15" t="s">
        <v>309</v>
      </c>
      <c r="D14" s="17">
        <v>137752</v>
      </c>
    </row>
    <row r="15" spans="1:4" x14ac:dyDescent="0.25">
      <c r="A15" s="15"/>
      <c r="B15" s="15"/>
      <c r="C15" s="15" t="s">
        <v>310</v>
      </c>
      <c r="D15" s="17">
        <v>281401</v>
      </c>
    </row>
    <row r="16" spans="1:4" x14ac:dyDescent="0.25">
      <c r="A16" s="15"/>
      <c r="B16" s="15" t="s">
        <v>88</v>
      </c>
      <c r="C16" s="15" t="s">
        <v>308</v>
      </c>
      <c r="D16" s="17">
        <v>472278</v>
      </c>
    </row>
    <row r="17" spans="1:4" x14ac:dyDescent="0.25">
      <c r="A17" s="15"/>
      <c r="B17" s="15"/>
      <c r="C17" s="15" t="s">
        <v>309</v>
      </c>
      <c r="D17" s="17">
        <v>458922</v>
      </c>
    </row>
    <row r="18" spans="1:4" x14ac:dyDescent="0.25">
      <c r="A18" s="15"/>
      <c r="B18" s="15"/>
      <c r="C18" s="15" t="s">
        <v>310</v>
      </c>
      <c r="D18" s="17">
        <v>472999</v>
      </c>
    </row>
    <row r="19" spans="1:4" x14ac:dyDescent="0.25">
      <c r="A19" s="15">
        <v>2017</v>
      </c>
      <c r="B19" s="15" t="s">
        <v>226</v>
      </c>
      <c r="C19" s="15" t="s">
        <v>308</v>
      </c>
      <c r="D19" s="17">
        <v>265047</v>
      </c>
    </row>
    <row r="20" spans="1:4" x14ac:dyDescent="0.25">
      <c r="A20" s="15"/>
      <c r="B20" s="15"/>
      <c r="C20" s="15" t="s">
        <v>309</v>
      </c>
      <c r="D20" s="17">
        <v>533762</v>
      </c>
    </row>
    <row r="21" spans="1:4" x14ac:dyDescent="0.25">
      <c r="A21" s="15"/>
      <c r="B21" s="15"/>
      <c r="C21" s="15" t="s">
        <v>310</v>
      </c>
      <c r="D21" s="17">
        <v>553152</v>
      </c>
    </row>
    <row r="22" spans="1:4" x14ac:dyDescent="0.25">
      <c r="A22" s="15"/>
      <c r="B22" s="15" t="s">
        <v>227</v>
      </c>
      <c r="C22" s="15" t="s">
        <v>308</v>
      </c>
      <c r="D22" s="17">
        <v>576607</v>
      </c>
    </row>
    <row r="23" spans="1:4" x14ac:dyDescent="0.25">
      <c r="A23" s="15"/>
      <c r="B23" s="15"/>
      <c r="C23" s="15" t="s">
        <v>309</v>
      </c>
      <c r="D23" s="17">
        <v>553743</v>
      </c>
    </row>
    <row r="24" spans="1:4" x14ac:dyDescent="0.25">
      <c r="A24" s="15"/>
      <c r="B24" s="15"/>
      <c r="C24" s="15" t="s">
        <v>310</v>
      </c>
      <c r="D24" s="17">
        <v>522731</v>
      </c>
    </row>
    <row r="25" spans="1:4" x14ac:dyDescent="0.25">
      <c r="A25" s="15"/>
      <c r="B25" s="15" t="s">
        <v>228</v>
      </c>
      <c r="C25" s="15" t="s">
        <v>308</v>
      </c>
      <c r="D25" s="17">
        <v>218590</v>
      </c>
    </row>
    <row r="26" spans="1:4" x14ac:dyDescent="0.25">
      <c r="A26" s="15"/>
      <c r="B26" s="15"/>
      <c r="C26" s="15" t="s">
        <v>309</v>
      </c>
      <c r="D26" s="17">
        <v>138873</v>
      </c>
    </row>
    <row r="27" spans="1:4" x14ac:dyDescent="0.25">
      <c r="A27" s="15"/>
      <c r="B27" s="15"/>
      <c r="C27" s="15" t="s">
        <v>310</v>
      </c>
      <c r="D27" s="17">
        <v>451612</v>
      </c>
    </row>
    <row r="28" spans="1:4" x14ac:dyDescent="0.25">
      <c r="A28" s="15"/>
      <c r="B28" s="15" t="s">
        <v>229</v>
      </c>
      <c r="C28" s="15" t="s">
        <v>308</v>
      </c>
      <c r="D28" s="17">
        <v>130900</v>
      </c>
    </row>
    <row r="29" spans="1:4" x14ac:dyDescent="0.25">
      <c r="A29" s="15"/>
      <c r="B29" s="15"/>
      <c r="C29" s="15" t="s">
        <v>309</v>
      </c>
      <c r="D29" s="17">
        <v>247667</v>
      </c>
    </row>
    <row r="30" spans="1:4" x14ac:dyDescent="0.25">
      <c r="A30" s="15"/>
      <c r="B30" s="15"/>
      <c r="C30" s="15" t="s">
        <v>310</v>
      </c>
      <c r="D30" s="17">
        <v>513073</v>
      </c>
    </row>
    <row r="31" spans="1:4" x14ac:dyDescent="0.25">
      <c r="A31" s="15"/>
      <c r="B31" s="15" t="s">
        <v>88</v>
      </c>
      <c r="C31" s="15" t="s">
        <v>308</v>
      </c>
      <c r="D31" s="17">
        <v>546829</v>
      </c>
    </row>
    <row r="32" spans="1:4" x14ac:dyDescent="0.25">
      <c r="A32" s="15"/>
      <c r="B32" s="15"/>
      <c r="C32" s="15" t="s">
        <v>309</v>
      </c>
      <c r="D32" s="17">
        <v>351858</v>
      </c>
    </row>
    <row r="33" spans="1:4" x14ac:dyDescent="0.25">
      <c r="A33" s="15"/>
      <c r="B33" s="15"/>
      <c r="C33" s="15" t="s">
        <v>310</v>
      </c>
      <c r="D33" s="17">
        <v>276006</v>
      </c>
    </row>
    <row r="34" spans="1:4" x14ac:dyDescent="0.25">
      <c r="A34" s="15">
        <v>2018</v>
      </c>
      <c r="B34" s="15" t="s">
        <v>226</v>
      </c>
      <c r="C34" s="15" t="s">
        <v>308</v>
      </c>
      <c r="D34" s="17">
        <v>499508</v>
      </c>
    </row>
    <row r="35" spans="1:4" x14ac:dyDescent="0.25">
      <c r="A35" s="15"/>
      <c r="B35" s="15"/>
      <c r="C35" s="15" t="s">
        <v>309</v>
      </c>
      <c r="D35" s="17">
        <v>223937</v>
      </c>
    </row>
    <row r="36" spans="1:4" x14ac:dyDescent="0.25">
      <c r="A36" s="15"/>
      <c r="B36" s="15"/>
      <c r="C36" s="15" t="s">
        <v>310</v>
      </c>
      <c r="D36" s="17">
        <v>317776</v>
      </c>
    </row>
    <row r="37" spans="1:4" x14ac:dyDescent="0.25">
      <c r="A37" s="15"/>
      <c r="B37" s="15" t="s">
        <v>227</v>
      </c>
      <c r="C37" s="15" t="s">
        <v>308</v>
      </c>
      <c r="D37" s="17">
        <v>279565</v>
      </c>
    </row>
    <row r="38" spans="1:4" x14ac:dyDescent="0.25">
      <c r="A38" s="15"/>
      <c r="B38" s="15"/>
      <c r="C38" s="15" t="s">
        <v>309</v>
      </c>
      <c r="D38" s="17">
        <v>561218</v>
      </c>
    </row>
    <row r="39" spans="1:4" x14ac:dyDescent="0.25">
      <c r="A39" s="15"/>
      <c r="B39" s="15"/>
      <c r="C39" s="15" t="s">
        <v>310</v>
      </c>
      <c r="D39" s="17">
        <v>586438</v>
      </c>
    </row>
    <row r="40" spans="1:4" x14ac:dyDescent="0.25">
      <c r="A40" s="15"/>
      <c r="B40" s="15" t="s">
        <v>228</v>
      </c>
      <c r="C40" s="15" t="s">
        <v>308</v>
      </c>
      <c r="D40" s="17">
        <v>156776</v>
      </c>
    </row>
    <row r="41" spans="1:4" x14ac:dyDescent="0.25">
      <c r="A41" s="15"/>
      <c r="B41" s="15"/>
      <c r="C41" s="15" t="s">
        <v>309</v>
      </c>
      <c r="D41" s="17">
        <v>368060</v>
      </c>
    </row>
    <row r="42" spans="1:4" x14ac:dyDescent="0.25">
      <c r="A42" s="15"/>
      <c r="B42" s="15"/>
      <c r="C42" s="15" t="s">
        <v>310</v>
      </c>
      <c r="D42" s="17">
        <v>230515</v>
      </c>
    </row>
    <row r="43" spans="1:4" x14ac:dyDescent="0.25">
      <c r="A43" s="15"/>
      <c r="B43" s="15" t="s">
        <v>229</v>
      </c>
      <c r="C43" s="15" t="s">
        <v>308</v>
      </c>
      <c r="D43" s="17">
        <v>440421</v>
      </c>
    </row>
    <row r="44" spans="1:4" x14ac:dyDescent="0.25">
      <c r="A44" s="15"/>
      <c r="B44" s="15"/>
      <c r="C44" s="15" t="s">
        <v>309</v>
      </c>
      <c r="D44" s="17">
        <v>233552</v>
      </c>
    </row>
    <row r="45" spans="1:4" x14ac:dyDescent="0.25">
      <c r="A45" s="15"/>
      <c r="B45" s="15"/>
      <c r="C45" s="15" t="s">
        <v>310</v>
      </c>
      <c r="D45" s="17">
        <v>116976</v>
      </c>
    </row>
    <row r="46" spans="1:4" x14ac:dyDescent="0.25">
      <c r="A46" s="15"/>
      <c r="B46" s="15" t="s">
        <v>88</v>
      </c>
      <c r="C46" s="15" t="s">
        <v>308</v>
      </c>
      <c r="D46" s="17">
        <v>140066</v>
      </c>
    </row>
    <row r="47" spans="1:4" x14ac:dyDescent="0.25">
      <c r="A47" s="15"/>
      <c r="B47" s="15"/>
      <c r="C47" s="15" t="s">
        <v>309</v>
      </c>
      <c r="D47" s="17">
        <v>211932</v>
      </c>
    </row>
    <row r="48" spans="1:4" x14ac:dyDescent="0.25">
      <c r="A48" s="15"/>
      <c r="B48" s="15"/>
      <c r="C48" s="15" t="s">
        <v>310</v>
      </c>
      <c r="D48" s="17">
        <v>417342</v>
      </c>
    </row>
    <row r="49" spans="1:4" x14ac:dyDescent="0.25">
      <c r="A49" s="15">
        <v>2019</v>
      </c>
      <c r="B49" s="15" t="s">
        <v>226</v>
      </c>
      <c r="C49" s="15" t="s">
        <v>308</v>
      </c>
      <c r="D49" s="17">
        <v>469331</v>
      </c>
    </row>
    <row r="50" spans="1:4" x14ac:dyDescent="0.25">
      <c r="A50" s="15"/>
      <c r="B50" s="15"/>
      <c r="C50" s="15" t="s">
        <v>309</v>
      </c>
      <c r="D50" s="17">
        <v>177914</v>
      </c>
    </row>
    <row r="51" spans="1:4" x14ac:dyDescent="0.25">
      <c r="A51" s="15"/>
      <c r="B51" s="15"/>
      <c r="C51" s="15" t="s">
        <v>310</v>
      </c>
      <c r="D51" s="17">
        <v>158153</v>
      </c>
    </row>
    <row r="52" spans="1:4" x14ac:dyDescent="0.25">
      <c r="A52" s="15"/>
      <c r="B52" s="15" t="s">
        <v>227</v>
      </c>
      <c r="C52" s="15" t="s">
        <v>308</v>
      </c>
      <c r="D52" s="17">
        <v>166258</v>
      </c>
    </row>
    <row r="53" spans="1:4" x14ac:dyDescent="0.25">
      <c r="A53" s="15"/>
      <c r="B53" s="15"/>
      <c r="C53" s="15" t="s">
        <v>309</v>
      </c>
      <c r="D53" s="17">
        <v>344002</v>
      </c>
    </row>
    <row r="54" spans="1:4" x14ac:dyDescent="0.25">
      <c r="A54" s="15"/>
      <c r="B54" s="15"/>
      <c r="C54" s="15" t="s">
        <v>310</v>
      </c>
      <c r="D54" s="17">
        <v>251245</v>
      </c>
    </row>
    <row r="55" spans="1:4" x14ac:dyDescent="0.25">
      <c r="A55" s="15"/>
      <c r="B55" s="15" t="s">
        <v>228</v>
      </c>
      <c r="C55" s="15" t="s">
        <v>308</v>
      </c>
      <c r="D55" s="17">
        <v>255027</v>
      </c>
    </row>
    <row r="56" spans="1:4" x14ac:dyDescent="0.25">
      <c r="A56" s="15"/>
      <c r="B56" s="15"/>
      <c r="C56" s="15" t="s">
        <v>309</v>
      </c>
      <c r="D56" s="17">
        <v>360194</v>
      </c>
    </row>
    <row r="57" spans="1:4" x14ac:dyDescent="0.25">
      <c r="A57" s="15"/>
      <c r="B57" s="15"/>
      <c r="C57" s="15" t="s">
        <v>310</v>
      </c>
      <c r="D57" s="17">
        <v>397483</v>
      </c>
    </row>
    <row r="58" spans="1:4" x14ac:dyDescent="0.25">
      <c r="A58" s="15"/>
      <c r="B58" s="15" t="s">
        <v>229</v>
      </c>
      <c r="C58" s="15" t="s">
        <v>308</v>
      </c>
      <c r="D58" s="17">
        <v>221896</v>
      </c>
    </row>
    <row r="59" spans="1:4" x14ac:dyDescent="0.25">
      <c r="A59" s="15"/>
      <c r="B59" s="15"/>
      <c r="C59" s="15" t="s">
        <v>309</v>
      </c>
      <c r="D59" s="17">
        <v>355727</v>
      </c>
    </row>
    <row r="60" spans="1:4" x14ac:dyDescent="0.25">
      <c r="A60" s="15"/>
      <c r="B60" s="15"/>
      <c r="C60" s="15" t="s">
        <v>310</v>
      </c>
      <c r="D60" s="17">
        <v>225379</v>
      </c>
    </row>
    <row r="61" spans="1:4" x14ac:dyDescent="0.25">
      <c r="A61" s="15"/>
      <c r="B61" s="15" t="s">
        <v>88</v>
      </c>
      <c r="C61" s="15" t="s">
        <v>308</v>
      </c>
      <c r="D61" s="17">
        <v>509229</v>
      </c>
    </row>
    <row r="62" spans="1:4" x14ac:dyDescent="0.25">
      <c r="A62" s="15"/>
      <c r="B62" s="15"/>
      <c r="C62" s="15" t="s">
        <v>309</v>
      </c>
      <c r="D62" s="17">
        <v>101393</v>
      </c>
    </row>
    <row r="63" spans="1:4" x14ac:dyDescent="0.25">
      <c r="A63" s="15"/>
      <c r="B63" s="15"/>
      <c r="C63" s="15" t="s">
        <v>310</v>
      </c>
      <c r="D63" s="17">
        <v>449734</v>
      </c>
    </row>
    <row r="64" spans="1:4" x14ac:dyDescent="0.25">
      <c r="A64" s="15">
        <v>2020</v>
      </c>
      <c r="B64" s="15" t="s">
        <v>226</v>
      </c>
      <c r="C64" s="15" t="s">
        <v>308</v>
      </c>
      <c r="D64" s="17">
        <v>489772</v>
      </c>
    </row>
    <row r="65" spans="1:4" x14ac:dyDescent="0.25">
      <c r="A65" s="15"/>
      <c r="B65" s="15"/>
      <c r="C65" s="15" t="s">
        <v>309</v>
      </c>
      <c r="D65" s="17">
        <v>118413</v>
      </c>
    </row>
    <row r="66" spans="1:4" x14ac:dyDescent="0.25">
      <c r="A66" s="15"/>
      <c r="B66" s="15"/>
      <c r="C66" s="15" t="s">
        <v>310</v>
      </c>
      <c r="D66" s="17">
        <v>283923</v>
      </c>
    </row>
    <row r="67" spans="1:4" x14ac:dyDescent="0.25">
      <c r="A67" s="15"/>
      <c r="B67" s="15" t="s">
        <v>227</v>
      </c>
      <c r="C67" s="15" t="s">
        <v>308</v>
      </c>
      <c r="D67" s="17">
        <v>399764</v>
      </c>
    </row>
    <row r="68" spans="1:4" x14ac:dyDescent="0.25">
      <c r="A68" s="15"/>
      <c r="B68" s="15"/>
      <c r="C68" s="15" t="s">
        <v>309</v>
      </c>
      <c r="D68" s="17">
        <v>305310</v>
      </c>
    </row>
    <row r="69" spans="1:4" x14ac:dyDescent="0.25">
      <c r="A69" s="15"/>
      <c r="B69" s="15"/>
      <c r="C69" s="15" t="s">
        <v>310</v>
      </c>
      <c r="D69" s="17">
        <v>420379</v>
      </c>
    </row>
    <row r="70" spans="1:4" x14ac:dyDescent="0.25">
      <c r="A70" s="15"/>
      <c r="B70" s="15" t="s">
        <v>228</v>
      </c>
      <c r="C70" s="15" t="s">
        <v>308</v>
      </c>
      <c r="D70" s="17">
        <v>135591</v>
      </c>
    </row>
    <row r="71" spans="1:4" x14ac:dyDescent="0.25">
      <c r="A71" s="15"/>
      <c r="B71" s="15"/>
      <c r="C71" s="15" t="s">
        <v>309</v>
      </c>
      <c r="D71" s="17">
        <v>419894</v>
      </c>
    </row>
    <row r="72" spans="1:4" x14ac:dyDescent="0.25">
      <c r="A72" s="15"/>
      <c r="B72" s="15"/>
      <c r="C72" s="15" t="s">
        <v>310</v>
      </c>
      <c r="D72" s="17">
        <v>478683</v>
      </c>
    </row>
    <row r="73" spans="1:4" x14ac:dyDescent="0.25">
      <c r="A73" s="15"/>
      <c r="B73" s="15" t="s">
        <v>229</v>
      </c>
      <c r="C73" s="15" t="s">
        <v>308</v>
      </c>
      <c r="D73" s="17">
        <v>451878</v>
      </c>
    </row>
    <row r="74" spans="1:4" x14ac:dyDescent="0.25">
      <c r="A74" s="15"/>
      <c r="B74" s="15"/>
      <c r="C74" s="15" t="s">
        <v>309</v>
      </c>
      <c r="D74" s="17">
        <v>578975</v>
      </c>
    </row>
    <row r="75" spans="1:4" x14ac:dyDescent="0.25">
      <c r="A75" s="15"/>
      <c r="B75" s="15"/>
      <c r="C75" s="15" t="s">
        <v>310</v>
      </c>
      <c r="D75" s="17">
        <v>414180</v>
      </c>
    </row>
    <row r="76" spans="1:4" x14ac:dyDescent="0.25">
      <c r="A76" s="15"/>
      <c r="B76" s="15" t="s">
        <v>88</v>
      </c>
      <c r="C76" s="15" t="s">
        <v>308</v>
      </c>
      <c r="D76" s="17">
        <v>319282</v>
      </c>
    </row>
    <row r="77" spans="1:4" x14ac:dyDescent="0.25">
      <c r="A77" s="15"/>
      <c r="B77" s="15"/>
      <c r="C77" s="15" t="s">
        <v>309</v>
      </c>
      <c r="D77" s="17">
        <v>107783</v>
      </c>
    </row>
    <row r="78" spans="1:4" x14ac:dyDescent="0.25">
      <c r="A78" s="15"/>
      <c r="B78" s="15"/>
      <c r="C78" s="15" t="s">
        <v>310</v>
      </c>
      <c r="D78" s="17">
        <v>255986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05949-34DE-4D4D-B730-0FB912525184}">
  <sheetPr codeName="Sheet22"/>
  <dimension ref="A1:E8"/>
  <sheetViews>
    <sheetView topLeftCell="A13" workbookViewId="0">
      <selection activeCell="C32" sqref="C32"/>
    </sheetView>
  </sheetViews>
  <sheetFormatPr defaultRowHeight="15" x14ac:dyDescent="0.25"/>
  <cols>
    <col min="1" max="1" width="24.140625" bestFit="1" customWidth="1"/>
    <col min="2" max="4" width="12" bestFit="1" customWidth="1"/>
  </cols>
  <sheetData>
    <row r="1" spans="1:5" x14ac:dyDescent="0.25">
      <c r="A1" s="2" t="s">
        <v>314</v>
      </c>
    </row>
    <row r="3" spans="1:5" x14ac:dyDescent="0.25">
      <c r="A3" s="46" t="s">
        <v>315</v>
      </c>
      <c r="B3" s="46" t="s">
        <v>324</v>
      </c>
      <c r="C3" s="46" t="s">
        <v>316</v>
      </c>
      <c r="D3" s="46" t="s">
        <v>317</v>
      </c>
      <c r="E3" s="46" t="s">
        <v>318</v>
      </c>
    </row>
    <row r="4" spans="1:5" x14ac:dyDescent="0.25">
      <c r="A4" s="40" t="s">
        <v>319</v>
      </c>
      <c r="B4" s="15">
        <v>4</v>
      </c>
      <c r="C4" s="15">
        <v>2</v>
      </c>
      <c r="D4" s="15">
        <v>4</v>
      </c>
      <c r="E4" s="15">
        <v>3</v>
      </c>
    </row>
    <row r="5" spans="1:5" x14ac:dyDescent="0.25">
      <c r="A5" s="40" t="s">
        <v>320</v>
      </c>
      <c r="B5" s="15">
        <v>4.5</v>
      </c>
      <c r="C5" s="15">
        <v>2</v>
      </c>
      <c r="D5" s="15">
        <v>4</v>
      </c>
      <c r="E5" s="15">
        <v>4</v>
      </c>
    </row>
    <row r="6" spans="1:5" x14ac:dyDescent="0.25">
      <c r="A6" s="40" t="s">
        <v>321</v>
      </c>
      <c r="B6" s="15">
        <v>4</v>
      </c>
      <c r="C6" s="15">
        <v>3</v>
      </c>
      <c r="D6" s="15">
        <v>3</v>
      </c>
      <c r="E6" s="15">
        <v>5</v>
      </c>
    </row>
    <row r="7" spans="1:5" x14ac:dyDescent="0.25">
      <c r="A7" s="40" t="s">
        <v>322</v>
      </c>
      <c r="B7" s="15">
        <v>3</v>
      </c>
      <c r="C7" s="15">
        <v>2</v>
      </c>
      <c r="D7" s="15">
        <v>2</v>
      </c>
      <c r="E7" s="15">
        <v>3</v>
      </c>
    </row>
    <row r="8" spans="1:5" x14ac:dyDescent="0.25">
      <c r="A8" s="40" t="s">
        <v>323</v>
      </c>
      <c r="B8" s="15">
        <v>4</v>
      </c>
      <c r="C8" s="15">
        <v>1</v>
      </c>
      <c r="D8" s="15">
        <v>4</v>
      </c>
      <c r="E8" s="15">
        <v>3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EA5A-45BE-455F-8163-6BE0D8C10C55}">
  <sheetPr codeName="Sheet23"/>
  <dimension ref="A1:G16"/>
  <sheetViews>
    <sheetView workbookViewId="0">
      <selection activeCell="D14" sqref="D14"/>
    </sheetView>
  </sheetViews>
  <sheetFormatPr defaultRowHeight="15" x14ac:dyDescent="0.25"/>
  <cols>
    <col min="2" max="2" width="19.42578125" bestFit="1" customWidth="1"/>
  </cols>
  <sheetData>
    <row r="1" spans="1:7" ht="18.75" x14ac:dyDescent="0.3">
      <c r="A1" s="67" t="s">
        <v>325</v>
      </c>
    </row>
    <row r="3" spans="1:7" x14ac:dyDescent="0.25">
      <c r="B3" s="2" t="s">
        <v>326</v>
      </c>
      <c r="G3">
        <v>1100</v>
      </c>
    </row>
    <row r="4" spans="1:7" x14ac:dyDescent="0.25">
      <c r="B4" s="2"/>
    </row>
    <row r="5" spans="1:7" x14ac:dyDescent="0.25">
      <c r="B5" s="2" t="s">
        <v>327</v>
      </c>
    </row>
    <row r="6" spans="1:7" x14ac:dyDescent="0.25">
      <c r="B6" s="2"/>
    </row>
    <row r="7" spans="1:7" x14ac:dyDescent="0.25">
      <c r="B7" s="2" t="s">
        <v>328</v>
      </c>
    </row>
    <row r="8" spans="1:7" x14ac:dyDescent="0.25">
      <c r="B8" s="2"/>
    </row>
    <row r="9" spans="1:7" x14ac:dyDescent="0.25">
      <c r="B9" s="2" t="s">
        <v>329</v>
      </c>
    </row>
    <row r="10" spans="1:7" x14ac:dyDescent="0.25">
      <c r="B10" s="2"/>
    </row>
    <row r="11" spans="1:7" x14ac:dyDescent="0.25">
      <c r="B11" s="2"/>
    </row>
    <row r="12" spans="1:7" x14ac:dyDescent="0.25">
      <c r="B12" s="2"/>
    </row>
    <row r="13" spans="1:7" x14ac:dyDescent="0.25">
      <c r="B13" s="2"/>
    </row>
    <row r="14" spans="1:7" x14ac:dyDescent="0.25">
      <c r="B14" s="2"/>
    </row>
    <row r="15" spans="1:7" x14ac:dyDescent="0.25">
      <c r="B15" s="2"/>
    </row>
    <row r="16" spans="1:7" x14ac:dyDescent="0.25">
      <c r="B16" s="2" t="s">
        <v>330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croll Bar 1">
              <controlPr defaultSize="0" autoPict="0">
                <anchor moveWithCells="1">
                  <from>
                    <xdr:col>2</xdr:col>
                    <xdr:colOff>0</xdr:colOff>
                    <xdr:row>1</xdr:row>
                    <xdr:rowOff>171450</xdr:rowOff>
                  </from>
                  <to>
                    <xdr:col>5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6ABA2-7ABB-4D2B-B4BF-5C2DD0E6AF3D}">
  <sheetPr codeName="Sheet24"/>
  <dimension ref="B2:G53"/>
  <sheetViews>
    <sheetView topLeftCell="C1" workbookViewId="0">
      <selection activeCell="G15" sqref="G15"/>
    </sheetView>
  </sheetViews>
  <sheetFormatPr defaultRowHeight="15" x14ac:dyDescent="0.25"/>
  <cols>
    <col min="2" max="2" width="18.7109375" bestFit="1" customWidth="1"/>
    <col min="6" max="6" width="15.5703125" bestFit="1" customWidth="1"/>
    <col min="7" max="7" width="25.5703125" bestFit="1" customWidth="1"/>
  </cols>
  <sheetData>
    <row r="2" spans="2:7" x14ac:dyDescent="0.25">
      <c r="B2" s="13" t="s">
        <v>330</v>
      </c>
      <c r="C2" s="13" t="s">
        <v>380</v>
      </c>
      <c r="F2" s="13" t="s">
        <v>381</v>
      </c>
      <c r="G2" s="13" t="s">
        <v>386</v>
      </c>
    </row>
    <row r="3" spans="2:7" x14ac:dyDescent="0.25">
      <c r="B3" s="15" t="s">
        <v>331</v>
      </c>
      <c r="C3" s="47">
        <v>5.0000000000000001E-3</v>
      </c>
      <c r="F3" s="15" t="s">
        <v>382</v>
      </c>
      <c r="G3" s="15">
        <v>12</v>
      </c>
    </row>
    <row r="4" spans="2:7" x14ac:dyDescent="0.25">
      <c r="B4" s="15" t="s">
        <v>179</v>
      </c>
      <c r="C4" s="47">
        <v>5.0000000000000001E-3</v>
      </c>
      <c r="F4" s="15" t="s">
        <v>394</v>
      </c>
      <c r="G4" s="15">
        <v>6</v>
      </c>
    </row>
    <row r="5" spans="2:7" x14ac:dyDescent="0.25">
      <c r="B5" s="15" t="s">
        <v>332</v>
      </c>
      <c r="C5" s="47">
        <v>5.0000000000000001E-3</v>
      </c>
      <c r="F5" s="15" t="s">
        <v>383</v>
      </c>
      <c r="G5" s="15">
        <v>4</v>
      </c>
    </row>
    <row r="6" spans="2:7" x14ac:dyDescent="0.25">
      <c r="B6" s="15" t="s">
        <v>333</v>
      </c>
      <c r="C6" s="47">
        <v>5.0000000000000001E-3</v>
      </c>
      <c r="F6" s="15" t="s">
        <v>384</v>
      </c>
      <c r="G6" s="15">
        <v>2</v>
      </c>
    </row>
    <row r="7" spans="2:7" x14ac:dyDescent="0.25">
      <c r="B7" s="15" t="s">
        <v>334</v>
      </c>
      <c r="C7" s="47">
        <v>1.4999999999999999E-2</v>
      </c>
      <c r="F7" s="15" t="s">
        <v>385</v>
      </c>
      <c r="G7" s="15">
        <v>1</v>
      </c>
    </row>
    <row r="8" spans="2:7" x14ac:dyDescent="0.25">
      <c r="B8" s="15" t="s">
        <v>335</v>
      </c>
      <c r="C8" s="47">
        <v>5.0000000000000001E-3</v>
      </c>
    </row>
    <row r="9" spans="2:7" x14ac:dyDescent="0.25">
      <c r="B9" s="15" t="s">
        <v>336</v>
      </c>
      <c r="C9" s="47">
        <v>5.0000000000000001E-3</v>
      </c>
    </row>
    <row r="10" spans="2:7" x14ac:dyDescent="0.25">
      <c r="B10" s="15" t="s">
        <v>337</v>
      </c>
      <c r="C10" s="47">
        <v>5.0000000000000001E-3</v>
      </c>
    </row>
    <row r="11" spans="2:7" x14ac:dyDescent="0.25">
      <c r="B11" s="15" t="s">
        <v>338</v>
      </c>
      <c r="C11" s="47">
        <v>0.01</v>
      </c>
    </row>
    <row r="12" spans="2:7" x14ac:dyDescent="0.25">
      <c r="B12" s="15" t="s">
        <v>339</v>
      </c>
      <c r="C12" s="47">
        <v>5.0000000000000001E-3</v>
      </c>
    </row>
    <row r="13" spans="2:7" x14ac:dyDescent="0.25">
      <c r="B13" s="15" t="s">
        <v>340</v>
      </c>
      <c r="C13" s="47">
        <v>0.01</v>
      </c>
    </row>
    <row r="14" spans="2:7" x14ac:dyDescent="0.25">
      <c r="B14" s="15" t="s">
        <v>341</v>
      </c>
      <c r="C14" s="47">
        <v>2.5000000000000001E-3</v>
      </c>
    </row>
    <row r="15" spans="2:7" x14ac:dyDescent="0.25">
      <c r="B15" s="15" t="s">
        <v>342</v>
      </c>
      <c r="C15" s="47">
        <v>5.0000000000000001E-3</v>
      </c>
    </row>
    <row r="16" spans="2:7" x14ac:dyDescent="0.25">
      <c r="B16" s="15" t="s">
        <v>343</v>
      </c>
      <c r="C16" s="47">
        <v>5.0000000000000001E-3</v>
      </c>
    </row>
    <row r="17" spans="2:6" x14ac:dyDescent="0.25">
      <c r="B17" s="15" t="s">
        <v>344</v>
      </c>
      <c r="C17" s="47">
        <v>0.01</v>
      </c>
    </row>
    <row r="18" spans="2:6" x14ac:dyDescent="0.25">
      <c r="B18" s="15" t="s">
        <v>345</v>
      </c>
      <c r="C18" s="47">
        <v>5.0000000000000001E-3</v>
      </c>
    </row>
    <row r="19" spans="2:6" x14ac:dyDescent="0.25">
      <c r="B19" s="15" t="s">
        <v>346</v>
      </c>
      <c r="C19" s="47">
        <v>5.0000000000000001E-3</v>
      </c>
    </row>
    <row r="20" spans="2:6" x14ac:dyDescent="0.25">
      <c r="B20" s="15" t="s">
        <v>347</v>
      </c>
      <c r="C20" s="47">
        <v>0.01</v>
      </c>
    </row>
    <row r="21" spans="2:6" x14ac:dyDescent="0.25">
      <c r="B21" s="15" t="s">
        <v>376</v>
      </c>
      <c r="C21" s="47">
        <v>5.0000000000000001E-3</v>
      </c>
    </row>
    <row r="22" spans="2:6" x14ac:dyDescent="0.25">
      <c r="B22" s="15" t="s">
        <v>377</v>
      </c>
      <c r="C22" s="47">
        <v>5.0000000000000001E-3</v>
      </c>
    </row>
    <row r="23" spans="2:6" x14ac:dyDescent="0.25">
      <c r="B23" s="15" t="s">
        <v>378</v>
      </c>
      <c r="C23" s="47">
        <v>5.0000000000000001E-3</v>
      </c>
    </row>
    <row r="24" spans="2:6" x14ac:dyDescent="0.25">
      <c r="B24" s="15" t="s">
        <v>379</v>
      </c>
      <c r="C24" s="47">
        <v>0.01</v>
      </c>
    </row>
    <row r="25" spans="2:6" x14ac:dyDescent="0.25">
      <c r="B25" s="15" t="s">
        <v>175</v>
      </c>
      <c r="C25" s="47">
        <v>5.0000000000000001E-3</v>
      </c>
    </row>
    <row r="26" spans="2:6" x14ac:dyDescent="0.25">
      <c r="B26" s="15" t="s">
        <v>375</v>
      </c>
      <c r="C26" s="47">
        <v>5.0000000000000001E-3</v>
      </c>
    </row>
    <row r="27" spans="2:6" x14ac:dyDescent="0.25">
      <c r="B27" s="15" t="s">
        <v>348</v>
      </c>
      <c r="C27" s="47">
        <v>0.01</v>
      </c>
    </row>
    <row r="28" spans="2:6" x14ac:dyDescent="0.25">
      <c r="B28" s="15" t="s">
        <v>349</v>
      </c>
      <c r="C28" s="47">
        <v>5.0000000000000001E-3</v>
      </c>
    </row>
    <row r="29" spans="2:6" x14ac:dyDescent="0.25">
      <c r="B29" s="15" t="s">
        <v>350</v>
      </c>
      <c r="C29" s="47">
        <v>5.0000000000000001E-3</v>
      </c>
    </row>
    <row r="30" spans="2:6" x14ac:dyDescent="0.25">
      <c r="B30" s="15" t="s">
        <v>351</v>
      </c>
      <c r="C30" s="47">
        <v>5.0000000000000001E-3</v>
      </c>
      <c r="F30" s="68"/>
    </row>
    <row r="31" spans="2:6" x14ac:dyDescent="0.25">
      <c r="B31" s="15" t="s">
        <v>352</v>
      </c>
      <c r="C31" s="47">
        <v>5.0000000000000001E-3</v>
      </c>
    </row>
    <row r="32" spans="2:6" x14ac:dyDescent="0.25">
      <c r="B32" s="15" t="s">
        <v>353</v>
      </c>
      <c r="C32" s="47">
        <v>5.0000000000000001E-3</v>
      </c>
    </row>
    <row r="33" spans="2:3" x14ac:dyDescent="0.25">
      <c r="B33" s="15" t="s">
        <v>354</v>
      </c>
      <c r="C33" s="47">
        <v>5.0000000000000001E-3</v>
      </c>
    </row>
    <row r="34" spans="2:3" x14ac:dyDescent="0.25">
      <c r="B34" s="15" t="s">
        <v>355</v>
      </c>
      <c r="C34" s="47">
        <v>5.0000000000000001E-3</v>
      </c>
    </row>
    <row r="35" spans="2:3" x14ac:dyDescent="0.25">
      <c r="B35" s="15" t="s">
        <v>356</v>
      </c>
      <c r="C35" s="47">
        <v>1.2500000000000001E-2</v>
      </c>
    </row>
    <row r="36" spans="2:3" x14ac:dyDescent="0.25">
      <c r="B36" s="15" t="s">
        <v>357</v>
      </c>
      <c r="C36" s="47">
        <v>5.0000000000000001E-3</v>
      </c>
    </row>
    <row r="37" spans="2:3" x14ac:dyDescent="0.25">
      <c r="B37" s="15" t="s">
        <v>358</v>
      </c>
      <c r="C37" s="47">
        <v>5.0000000000000001E-3</v>
      </c>
    </row>
    <row r="38" spans="2:3" x14ac:dyDescent="0.25">
      <c r="B38" s="15" t="s">
        <v>359</v>
      </c>
      <c r="C38" s="47">
        <v>0.01</v>
      </c>
    </row>
    <row r="39" spans="2:3" x14ac:dyDescent="0.25">
      <c r="B39" s="15" t="s">
        <v>360</v>
      </c>
      <c r="C39" s="47">
        <v>5.0000000000000001E-3</v>
      </c>
    </row>
    <row r="40" spans="2:3" x14ac:dyDescent="0.25">
      <c r="B40" s="15" t="s">
        <v>361</v>
      </c>
      <c r="C40" s="47">
        <v>5.0000000000000001E-3</v>
      </c>
    </row>
    <row r="41" spans="2:3" x14ac:dyDescent="0.25">
      <c r="B41" s="15" t="s">
        <v>362</v>
      </c>
      <c r="C41" s="47">
        <v>5.0000000000000001E-3</v>
      </c>
    </row>
    <row r="42" spans="2:3" x14ac:dyDescent="0.25">
      <c r="B42" s="15" t="s">
        <v>363</v>
      </c>
      <c r="C42" s="47">
        <v>5.0000000000000001E-3</v>
      </c>
    </row>
    <row r="43" spans="2:3" x14ac:dyDescent="0.25">
      <c r="B43" s="15" t="s">
        <v>364</v>
      </c>
      <c r="C43" s="47">
        <v>5.0000000000000001E-3</v>
      </c>
    </row>
    <row r="44" spans="2:3" x14ac:dyDescent="0.25">
      <c r="B44" s="15" t="s">
        <v>365</v>
      </c>
      <c r="C44" s="47">
        <v>5.0000000000000001E-3</v>
      </c>
    </row>
    <row r="45" spans="2:3" x14ac:dyDescent="0.25">
      <c r="B45" s="15" t="s">
        <v>366</v>
      </c>
      <c r="C45" s="47">
        <v>5.0000000000000001E-3</v>
      </c>
    </row>
    <row r="46" spans="2:3" x14ac:dyDescent="0.25">
      <c r="B46" s="15" t="s">
        <v>367</v>
      </c>
      <c r="C46" s="47">
        <v>0.01</v>
      </c>
    </row>
    <row r="47" spans="2:3" x14ac:dyDescent="0.25">
      <c r="B47" s="15" t="s">
        <v>368</v>
      </c>
      <c r="C47" s="47">
        <v>5.0000000000000001E-3</v>
      </c>
    </row>
    <row r="48" spans="2:3" x14ac:dyDescent="0.25">
      <c r="B48" s="15" t="s">
        <v>369</v>
      </c>
      <c r="C48" s="47">
        <v>5.0000000000000001E-3</v>
      </c>
    </row>
    <row r="49" spans="2:3" x14ac:dyDescent="0.25">
      <c r="B49" s="15" t="s">
        <v>370</v>
      </c>
      <c r="C49" s="47">
        <v>5.0000000000000001E-3</v>
      </c>
    </row>
    <row r="50" spans="2:3" x14ac:dyDescent="0.25">
      <c r="B50" s="15" t="s">
        <v>371</v>
      </c>
      <c r="C50" s="47">
        <v>5.0000000000000001E-3</v>
      </c>
    </row>
    <row r="51" spans="2:3" x14ac:dyDescent="0.25">
      <c r="B51" s="15" t="s">
        <v>372</v>
      </c>
      <c r="C51" s="47">
        <v>5.0000000000000001E-3</v>
      </c>
    </row>
    <row r="52" spans="2:3" x14ac:dyDescent="0.25">
      <c r="B52" s="15" t="s">
        <v>373</v>
      </c>
      <c r="C52" s="47">
        <v>5.0000000000000001E-3</v>
      </c>
    </row>
    <row r="53" spans="2:3" x14ac:dyDescent="0.25">
      <c r="B53" s="15" t="s">
        <v>374</v>
      </c>
      <c r="C53" s="47">
        <v>5.0000000000000001E-3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FF29-FB39-48EA-A449-D7686CF3C7D1}">
  <sheetPr codeName="Sheet1"/>
  <dimension ref="A1:G16"/>
  <sheetViews>
    <sheetView workbookViewId="0">
      <selection activeCell="E18" sqref="E18"/>
    </sheetView>
  </sheetViews>
  <sheetFormatPr defaultRowHeight="15" x14ac:dyDescent="0.25"/>
  <cols>
    <col min="2" max="2" width="19.42578125" bestFit="1" customWidth="1"/>
  </cols>
  <sheetData>
    <row r="1" spans="1:7" ht="18.75" x14ac:dyDescent="0.3">
      <c r="A1" s="67" t="s">
        <v>325</v>
      </c>
    </row>
    <row r="3" spans="1:7" x14ac:dyDescent="0.25">
      <c r="B3" s="2" t="s">
        <v>326</v>
      </c>
      <c r="G3">
        <v>30000</v>
      </c>
    </row>
    <row r="4" spans="1:7" x14ac:dyDescent="0.25">
      <c r="B4" s="2"/>
    </row>
    <row r="5" spans="1:7" x14ac:dyDescent="0.25">
      <c r="B5" s="2" t="s">
        <v>327</v>
      </c>
      <c r="G5">
        <v>5</v>
      </c>
    </row>
    <row r="6" spans="1:7" x14ac:dyDescent="0.25">
      <c r="B6" s="2"/>
    </row>
    <row r="7" spans="1:7" x14ac:dyDescent="0.25">
      <c r="B7" s="2" t="s">
        <v>328</v>
      </c>
      <c r="G7">
        <v>600</v>
      </c>
    </row>
    <row r="8" spans="1:7" x14ac:dyDescent="0.25">
      <c r="B8" s="2"/>
    </row>
    <row r="9" spans="1:7" x14ac:dyDescent="0.25">
      <c r="B9" s="2" t="s">
        <v>329</v>
      </c>
      <c r="G9">
        <v>5</v>
      </c>
    </row>
    <row r="10" spans="1:7" x14ac:dyDescent="0.25">
      <c r="B10" s="2"/>
    </row>
    <row r="11" spans="1:7" x14ac:dyDescent="0.25">
      <c r="B11" s="2"/>
    </row>
    <row r="12" spans="1:7" x14ac:dyDescent="0.25">
      <c r="B12" s="2"/>
    </row>
    <row r="13" spans="1:7" x14ac:dyDescent="0.25">
      <c r="B13" s="2"/>
    </row>
    <row r="14" spans="1:7" x14ac:dyDescent="0.25">
      <c r="B14" s="2"/>
    </row>
    <row r="15" spans="1:7" x14ac:dyDescent="0.25">
      <c r="B15" s="2"/>
    </row>
    <row r="16" spans="1:7" x14ac:dyDescent="0.25">
      <c r="B16" s="2" t="s">
        <v>330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Scroll Bar 1">
              <controlPr defaultSize="0" autoPict="0">
                <anchor moveWithCells="1">
                  <from>
                    <xdr:col>2</xdr:col>
                    <xdr:colOff>0</xdr:colOff>
                    <xdr:row>1</xdr:row>
                    <xdr:rowOff>171450</xdr:rowOff>
                  </from>
                  <to>
                    <xdr:col>5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Spinner 2">
              <controlPr defaultSize="0" autoPict="0">
                <anchor moveWithCells="1" sizeWithCells="1">
                  <from>
                    <xdr:col>2</xdr:col>
                    <xdr:colOff>19050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Scroll Bar 3">
              <controlPr defaultSiz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19050</xdr:rowOff>
                  </from>
                  <to>
                    <xdr:col>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28575</xdr:rowOff>
                  </from>
                  <to>
                    <xdr:col>5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5</xdr:col>
                    <xdr:colOff>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Option Button 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76200</xdr:rowOff>
                  </from>
                  <to>
                    <xdr:col>5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FB84-862E-4653-8C50-6835A2C68DA1}">
  <sheetPr codeName="Sheet25"/>
  <dimension ref="A1:L18"/>
  <sheetViews>
    <sheetView zoomScale="80" zoomScaleNormal="80" workbookViewId="0">
      <selection activeCell="I19" sqref="I19"/>
    </sheetView>
  </sheetViews>
  <sheetFormatPr defaultRowHeight="15" x14ac:dyDescent="0.25"/>
  <cols>
    <col min="2" max="2" width="19.42578125" bestFit="1" customWidth="1"/>
    <col min="11" max="11" width="33.42578125" bestFit="1" customWidth="1"/>
    <col min="12" max="12" width="14" bestFit="1" customWidth="1"/>
  </cols>
  <sheetData>
    <row r="1" spans="1:12" ht="18.75" x14ac:dyDescent="0.3">
      <c r="A1" s="69" t="s">
        <v>325</v>
      </c>
      <c r="B1" s="45"/>
      <c r="C1" s="45"/>
      <c r="D1" s="45"/>
      <c r="E1" s="45"/>
      <c r="F1" s="45"/>
    </row>
    <row r="2" spans="1:12" x14ac:dyDescent="0.25">
      <c r="A2" s="45"/>
      <c r="B2" s="45"/>
      <c r="C2" s="45"/>
      <c r="D2" s="45"/>
      <c r="E2" s="45"/>
      <c r="F2" s="45"/>
    </row>
    <row r="3" spans="1:12" x14ac:dyDescent="0.25">
      <c r="A3" s="45"/>
      <c r="B3" s="55" t="s">
        <v>326</v>
      </c>
      <c r="C3" s="45"/>
      <c r="D3" s="45"/>
      <c r="E3" s="45"/>
      <c r="F3" s="45"/>
      <c r="G3">
        <v>30000</v>
      </c>
      <c r="K3" s="20" t="s">
        <v>387</v>
      </c>
      <c r="L3" s="72">
        <f>G3</f>
        <v>30000</v>
      </c>
    </row>
    <row r="4" spans="1:12" x14ac:dyDescent="0.25">
      <c r="A4" s="45"/>
      <c r="B4" s="55"/>
      <c r="C4" s="45"/>
      <c r="D4" s="45"/>
      <c r="E4" s="45"/>
      <c r="F4" s="45"/>
      <c r="K4" s="20" t="s">
        <v>327</v>
      </c>
      <c r="L4" s="70">
        <f>G5</f>
        <v>3</v>
      </c>
    </row>
    <row r="5" spans="1:12" x14ac:dyDescent="0.25">
      <c r="A5" s="45"/>
      <c r="B5" s="55" t="s">
        <v>327</v>
      </c>
      <c r="C5" s="45"/>
      <c r="D5" s="45"/>
      <c r="E5" s="45"/>
      <c r="F5" s="45"/>
      <c r="G5">
        <v>3</v>
      </c>
      <c r="K5" s="20" t="s">
        <v>328</v>
      </c>
      <c r="L5" s="71">
        <f>G7/10000</f>
        <v>0.06</v>
      </c>
    </row>
    <row r="6" spans="1:12" x14ac:dyDescent="0.25">
      <c r="A6" s="45"/>
      <c r="B6" s="55"/>
      <c r="C6" s="45"/>
      <c r="D6" s="45"/>
      <c r="E6" s="45"/>
      <c r="F6" s="45"/>
      <c r="K6" s="20" t="s">
        <v>381</v>
      </c>
      <c r="L6" s="73" t="str">
        <f>INDEX(Dataset!F3:F7,G9,)</f>
        <v>Quarterly</v>
      </c>
    </row>
    <row r="7" spans="1:12" x14ac:dyDescent="0.25">
      <c r="A7" s="45"/>
      <c r="B7" s="55" t="s">
        <v>328</v>
      </c>
      <c r="C7" s="45"/>
      <c r="D7" s="45"/>
      <c r="E7" s="45"/>
      <c r="F7" s="45"/>
      <c r="G7">
        <v>600</v>
      </c>
      <c r="K7" s="20" t="s">
        <v>330</v>
      </c>
      <c r="L7" s="73" t="str">
        <f>INDEX(Dataset!B3:B53,G16)</f>
        <v>New York</v>
      </c>
    </row>
    <row r="8" spans="1:12" x14ac:dyDescent="0.25">
      <c r="A8" s="45"/>
      <c r="B8" s="55"/>
      <c r="C8" s="45"/>
      <c r="D8" s="45"/>
      <c r="E8" s="45"/>
      <c r="F8" s="45"/>
      <c r="K8" s="20" t="s">
        <v>388</v>
      </c>
      <c r="L8" s="71">
        <f>VLOOKUP(L7,Dataset!B3:C53,2,FALSE)</f>
        <v>1.2500000000000001E-2</v>
      </c>
    </row>
    <row r="9" spans="1:12" x14ac:dyDescent="0.25">
      <c r="A9" s="45"/>
      <c r="B9" s="55" t="s">
        <v>329</v>
      </c>
      <c r="C9" s="45"/>
      <c r="D9" s="45"/>
      <c r="E9" s="45"/>
      <c r="F9" s="45"/>
      <c r="G9">
        <v>3</v>
      </c>
      <c r="K9" s="20" t="s">
        <v>389</v>
      </c>
      <c r="L9" s="72">
        <f>L3*L8</f>
        <v>375</v>
      </c>
    </row>
    <row r="10" spans="1:12" x14ac:dyDescent="0.25">
      <c r="A10" s="45"/>
      <c r="B10" s="55"/>
      <c r="C10" s="45"/>
      <c r="D10" s="45"/>
      <c r="E10" s="45"/>
      <c r="F10" s="45"/>
      <c r="K10" s="20" t="s">
        <v>395</v>
      </c>
      <c r="L10" s="12">
        <f>INDEX(Dataset!G3:G7,G9)</f>
        <v>4</v>
      </c>
    </row>
    <row r="11" spans="1:12" x14ac:dyDescent="0.25">
      <c r="A11" s="45"/>
      <c r="B11" s="55"/>
      <c r="C11" s="45"/>
      <c r="D11" s="45"/>
      <c r="E11" s="45"/>
      <c r="F11" s="45"/>
      <c r="L11" s="36"/>
    </row>
    <row r="12" spans="1:12" x14ac:dyDescent="0.25">
      <c r="A12" s="45"/>
      <c r="B12" s="55"/>
      <c r="C12" s="45"/>
      <c r="D12" s="45"/>
      <c r="E12" s="45"/>
      <c r="F12" s="45"/>
      <c r="K12" s="20" t="s">
        <v>390</v>
      </c>
      <c r="L12" s="12">
        <f>L4*L10</f>
        <v>12</v>
      </c>
    </row>
    <row r="13" spans="1:12" x14ac:dyDescent="0.25">
      <c r="A13" s="45"/>
      <c r="B13" s="55"/>
      <c r="C13" s="45"/>
      <c r="D13" s="45"/>
      <c r="E13" s="45"/>
      <c r="F13" s="45"/>
      <c r="K13" s="20" t="s">
        <v>391</v>
      </c>
      <c r="L13" s="71">
        <f>L5/L10</f>
        <v>1.4999999999999999E-2</v>
      </c>
    </row>
    <row r="14" spans="1:12" x14ac:dyDescent="0.25">
      <c r="A14" s="45"/>
      <c r="B14" s="55"/>
      <c r="C14" s="45"/>
      <c r="D14" s="45"/>
      <c r="E14" s="45"/>
      <c r="F14" s="45"/>
      <c r="L14" s="36"/>
    </row>
    <row r="15" spans="1:12" x14ac:dyDescent="0.25">
      <c r="A15" s="45"/>
      <c r="B15" s="55"/>
      <c r="C15" s="45"/>
      <c r="D15" s="45"/>
      <c r="E15" s="45"/>
      <c r="F15" s="45"/>
      <c r="K15" s="20" t="s">
        <v>392</v>
      </c>
      <c r="L15" s="72">
        <f>PMT(L13,L12,L3)</f>
        <v>-2750.3997871868683</v>
      </c>
    </row>
    <row r="16" spans="1:12" x14ac:dyDescent="0.25">
      <c r="A16" s="45"/>
      <c r="B16" s="55" t="s">
        <v>330</v>
      </c>
      <c r="C16" s="45"/>
      <c r="D16" s="45"/>
      <c r="E16" s="45"/>
      <c r="F16" s="45"/>
      <c r="G16">
        <v>33</v>
      </c>
      <c r="L16" s="36"/>
    </row>
    <row r="17" spans="1:12" x14ac:dyDescent="0.25">
      <c r="A17" s="45"/>
      <c r="B17" s="45"/>
      <c r="C17" s="45"/>
      <c r="D17" s="45"/>
      <c r="E17" s="45"/>
      <c r="F17" s="45"/>
      <c r="K17" s="20" t="s">
        <v>393</v>
      </c>
      <c r="L17" s="72">
        <f>ABS(L15)+L9</f>
        <v>3125.3997871868683</v>
      </c>
    </row>
    <row r="18" spans="1:12" x14ac:dyDescent="0.25">
      <c r="A18" s="45"/>
      <c r="B18" s="45"/>
      <c r="C18" s="45"/>
      <c r="D18" s="45"/>
      <c r="E18" s="45"/>
      <c r="F18" s="4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Scroll Bar 1">
              <controlPr defaultSize="0" autoPict="0">
                <anchor moveWithCells="1">
                  <from>
                    <xdr:col>2</xdr:col>
                    <xdr:colOff>0</xdr:colOff>
                    <xdr:row>2</xdr:row>
                    <xdr:rowOff>9525</xdr:rowOff>
                  </from>
                  <to>
                    <xdr:col>5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Spinner 2">
              <controlPr defaultSize="0" autoPict="0">
                <anchor moveWithCells="1" sizeWithCells="1">
                  <from>
                    <xdr:col>2</xdr:col>
                    <xdr:colOff>19050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Scroll Bar 3">
              <controlPr defaultSiz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19050</xdr:rowOff>
                  </from>
                  <to>
                    <xdr:col>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28575</xdr:rowOff>
                  </from>
                  <to>
                    <xdr:col>5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Option Button 7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5</xdr:col>
                    <xdr:colOff>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Option Button 8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76200</xdr:rowOff>
                  </from>
                  <to>
                    <xdr:col>5</xdr:col>
                    <xdr:colOff>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Drop Down 9">
              <controlPr defaultSize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5E08B-9CDC-46F1-ADE2-AD0C60CFBA23}">
  <dimension ref="B1:D3"/>
  <sheetViews>
    <sheetView tabSelected="1" workbookViewId="0">
      <selection activeCell="C12" sqref="C12"/>
    </sheetView>
  </sheetViews>
  <sheetFormatPr defaultRowHeight="15" x14ac:dyDescent="0.25"/>
  <sheetData>
    <row r="1" spans="2:4" x14ac:dyDescent="0.25">
      <c r="B1" t="s">
        <v>202</v>
      </c>
      <c r="C1" t="s">
        <v>396</v>
      </c>
      <c r="D1" t="s">
        <v>330</v>
      </c>
    </row>
    <row r="2" spans="2:4" x14ac:dyDescent="0.25">
      <c r="B2" t="s">
        <v>397</v>
      </c>
      <c r="C2">
        <v>26</v>
      </c>
      <c r="D2" t="s">
        <v>367</v>
      </c>
    </row>
    <row r="3" spans="2:4" x14ac:dyDescent="0.25">
      <c r="B3" t="s">
        <v>398</v>
      </c>
      <c r="C3">
        <v>28</v>
      </c>
      <c r="D3" t="s">
        <v>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</vt:i4>
      </vt:variant>
    </vt:vector>
  </HeadingPairs>
  <TitlesOfParts>
    <vt:vector size="29" baseType="lpstr">
      <vt:lpstr>NamingCell&amp;Range_1</vt:lpstr>
      <vt:lpstr>NamingCell&amp;Range_2</vt:lpstr>
      <vt:lpstr>TextToColumns</vt:lpstr>
      <vt:lpstr>GroupingTabs&amp;Subtotal</vt:lpstr>
      <vt:lpstr>WorkingWithHyperlinks</vt:lpstr>
      <vt:lpstr>DataValidation</vt:lpstr>
      <vt:lpstr>CustomDataValidation</vt:lpstr>
      <vt:lpstr>GeneratingRandomNumbers</vt:lpstr>
      <vt:lpstr>ProtectingWorksheetAndWorkbook</vt:lpstr>
      <vt:lpstr>Goal Seek</vt:lpstr>
      <vt:lpstr>Solver</vt:lpstr>
      <vt:lpstr>DataTable</vt:lpstr>
      <vt:lpstr>ComboCharts</vt:lpstr>
      <vt:lpstr>Sparklines</vt:lpstr>
      <vt:lpstr>WaterfallChart</vt:lpstr>
      <vt:lpstr>Box&amp;WhiskerChart_1</vt:lpstr>
      <vt:lpstr>Box&amp;WhiskerChart_2</vt:lpstr>
      <vt:lpstr>Box&amp;WhiskerChart_3</vt:lpstr>
      <vt:lpstr>TreeMap</vt:lpstr>
      <vt:lpstr>SunBurst</vt:lpstr>
      <vt:lpstr>RadarChart</vt:lpstr>
      <vt:lpstr>ScrollBar</vt:lpstr>
      <vt:lpstr>Dataset</vt:lpstr>
      <vt:lpstr>Spin&amp;Radio</vt:lpstr>
      <vt:lpstr>FormControlApplication</vt:lpstr>
      <vt:lpstr>DataEntryForm</vt:lpstr>
      <vt:lpstr>Countries</vt:lpstr>
      <vt:lpstr>DaysInYear</vt:lpstr>
      <vt:lpstr>Hours_Per_Day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2015-06-05T18:17:20Z</dcterms:created>
  <dcterms:modified xsi:type="dcterms:W3CDTF">2023-11-07T06:06:50Z</dcterms:modified>
</cp:coreProperties>
</file>